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jimenzu\Desktop\CRONOGRAMAS FACTURACION\"/>
    </mc:Choice>
  </mc:AlternateContent>
  <xr:revisionPtr revIDLastSave="0" documentId="13_ncr:1_{76ABA0AB-5B94-4761-A5E2-1F0F9FA1765F}" xr6:coauthVersionLast="47" xr6:coauthVersionMax="47" xr10:uidLastSave="{00000000-0000-0000-0000-000000000000}"/>
  <bookViews>
    <workbookView xWindow="-28920" yWindow="-120" windowWidth="29040" windowHeight="15720" firstSheet="1" activeTab="7" xr2:uid="{00000000-000D-0000-FFFF-FFFF00000000}"/>
  </bookViews>
  <sheets>
    <sheet name="FEBRERO 2026" sheetId="1" r:id="rId1"/>
    <sheet name="MARZO 2026" sheetId="2" r:id="rId2"/>
    <sheet name="ABRIL 2026" sheetId="3" r:id="rId3"/>
    <sheet name="MAYO 2026" sheetId="4" r:id="rId4"/>
    <sheet name="JUNIO 2026" sheetId="5" r:id="rId5"/>
    <sheet name="JULIO 2026" sheetId="6" r:id="rId6"/>
    <sheet name="AGOSTO 2026" sheetId="7" r:id="rId7"/>
    <sheet name="SEPTIEMBRE 2026" sheetId="8" r:id="rId8"/>
  </sheets>
  <externalReferences>
    <externalReference r:id="rId9"/>
    <externalReference r:id="rId10"/>
  </externalReferences>
  <definedNames>
    <definedName name="_xlnm._FilterDatabase" localSheetId="7" hidden="1">'SEPTIEMBRE 2026'!$B$2:$AF$28</definedName>
    <definedName name="_xlnm.Print_Area" localSheetId="7">'SEPTIEMBRE 2026'!$B$1:$AF$56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0" i="8" l="1"/>
  <c r="AE50" i="8" s="1"/>
  <c r="AF50" i="8" s="1"/>
  <c r="AB50" i="8"/>
  <c r="W50" i="8"/>
  <c r="X50" i="8" s="1"/>
  <c r="U50" i="8"/>
  <c r="V50" i="8" s="1"/>
  <c r="Y50" i="8" s="1"/>
  <c r="Z50" i="8" s="1"/>
  <c r="S50" i="8"/>
  <c r="T50" i="8" s="1"/>
  <c r="R50" i="8"/>
  <c r="Q50" i="8"/>
  <c r="O50" i="8"/>
  <c r="P50" i="8" s="1"/>
  <c r="N50" i="8"/>
  <c r="M50" i="8"/>
  <c r="L50" i="8"/>
  <c r="K50" i="8"/>
  <c r="G50" i="8"/>
  <c r="AC49" i="8"/>
  <c r="AE49" i="8" s="1"/>
  <c r="AF49" i="8" s="1"/>
  <c r="AB49" i="8"/>
  <c r="W49" i="8"/>
  <c r="X49" i="8" s="1"/>
  <c r="V49" i="8"/>
  <c r="Y49" i="8" s="1"/>
  <c r="Z49" i="8" s="1"/>
  <c r="U49" i="8"/>
  <c r="S49" i="8"/>
  <c r="T49" i="8" s="1"/>
  <c r="Q49" i="8"/>
  <c r="R49" i="8" s="1"/>
  <c r="O49" i="8"/>
  <c r="P49" i="8" s="1"/>
  <c r="M49" i="8"/>
  <c r="N49" i="8" s="1"/>
  <c r="L49" i="8"/>
  <c r="K49" i="8"/>
  <c r="G49" i="8"/>
  <c r="AE48" i="8"/>
  <c r="AF48" i="8" s="1"/>
  <c r="AC48" i="8"/>
  <c r="AD48" i="8" s="1"/>
  <c r="AB48" i="8"/>
  <c r="W48" i="8"/>
  <c r="X48" i="8" s="1"/>
  <c r="U48" i="8"/>
  <c r="V48" i="8" s="1"/>
  <c r="Y48" i="8" s="1"/>
  <c r="Z48" i="8" s="1"/>
  <c r="T48" i="8"/>
  <c r="S48" i="8"/>
  <c r="R48" i="8"/>
  <c r="Q48" i="8"/>
  <c r="P48" i="8"/>
  <c r="O48" i="8"/>
  <c r="N48" i="8"/>
  <c r="M48" i="8"/>
  <c r="L48" i="8"/>
  <c r="K48" i="8"/>
  <c r="G48" i="8"/>
  <c r="AC47" i="8"/>
  <c r="AE47" i="8" s="1"/>
  <c r="AF47" i="8" s="1"/>
  <c r="AB47" i="8"/>
  <c r="X47" i="8"/>
  <c r="W47" i="8"/>
  <c r="V47" i="8"/>
  <c r="Y47" i="8" s="1"/>
  <c r="Z47" i="8" s="1"/>
  <c r="U47" i="8"/>
  <c r="S47" i="8"/>
  <c r="T47" i="8" s="1"/>
  <c r="R47" i="8"/>
  <c r="Q47" i="8"/>
  <c r="O47" i="8"/>
  <c r="P47" i="8" s="1"/>
  <c r="N47" i="8"/>
  <c r="M47" i="8"/>
  <c r="L47" i="8"/>
  <c r="K47" i="8"/>
  <c r="G47" i="8"/>
  <c r="AC46" i="8"/>
  <c r="AE46" i="8" s="1"/>
  <c r="AF46" i="8" s="1"/>
  <c r="AB46" i="8"/>
  <c r="W46" i="8"/>
  <c r="X46" i="8" s="1"/>
  <c r="V46" i="8"/>
  <c r="Y46" i="8" s="1"/>
  <c r="Z46" i="8" s="1"/>
  <c r="U46" i="8"/>
  <c r="T46" i="8"/>
  <c r="S46" i="8"/>
  <c r="R46" i="8"/>
  <c r="Q46" i="8"/>
  <c r="P46" i="8"/>
  <c r="O46" i="8"/>
  <c r="M46" i="8"/>
  <c r="N46" i="8" s="1"/>
  <c r="L46" i="8"/>
  <c r="K46" i="8"/>
  <c r="G46" i="8"/>
  <c r="AE45" i="8"/>
  <c r="AF45" i="8" s="1"/>
  <c r="AC45" i="8"/>
  <c r="AD45" i="8" s="1"/>
  <c r="AB45" i="8"/>
  <c r="X45" i="8"/>
  <c r="W45" i="8"/>
  <c r="U45" i="8"/>
  <c r="V45" i="8" s="1"/>
  <c r="Y45" i="8" s="1"/>
  <c r="Z45" i="8" s="1"/>
  <c r="T45" i="8"/>
  <c r="S45" i="8"/>
  <c r="Q45" i="8"/>
  <c r="R45" i="8" s="1"/>
  <c r="P45" i="8"/>
  <c r="O45" i="8"/>
  <c r="N45" i="8"/>
  <c r="M45" i="8"/>
  <c r="L45" i="8"/>
  <c r="K45" i="8"/>
  <c r="G45" i="8"/>
  <c r="AD44" i="8"/>
  <c r="AC44" i="8"/>
  <c r="AE44" i="8" s="1"/>
  <c r="AF44" i="8" s="1"/>
  <c r="AB44" i="8"/>
  <c r="Y44" i="8"/>
  <c r="Z44" i="8" s="1"/>
  <c r="X44" i="8"/>
  <c r="W44" i="8"/>
  <c r="V44" i="8"/>
  <c r="U44" i="8"/>
  <c r="T44" i="8"/>
  <c r="S44" i="8"/>
  <c r="R44" i="8"/>
  <c r="Q44" i="8"/>
  <c r="O44" i="8"/>
  <c r="P44" i="8" s="1"/>
  <c r="N44" i="8"/>
  <c r="M44" i="8"/>
  <c r="L44" i="8"/>
  <c r="K44" i="8"/>
  <c r="G44" i="8"/>
  <c r="AC43" i="8"/>
  <c r="AE43" i="8" s="1"/>
  <c r="AF43" i="8" s="1"/>
  <c r="AB43" i="8"/>
  <c r="W43" i="8"/>
  <c r="X43" i="8" s="1"/>
  <c r="V43" i="8"/>
  <c r="Y43" i="8" s="1"/>
  <c r="Z43" i="8" s="1"/>
  <c r="U43" i="8"/>
  <c r="S43" i="8"/>
  <c r="T43" i="8" s="1"/>
  <c r="R43" i="8"/>
  <c r="Q43" i="8"/>
  <c r="P43" i="8"/>
  <c r="O43" i="8"/>
  <c r="N43" i="8"/>
  <c r="M43" i="8"/>
  <c r="L43" i="8"/>
  <c r="K43" i="8"/>
  <c r="G43" i="8"/>
  <c r="AC42" i="8"/>
  <c r="AE42" i="8" s="1"/>
  <c r="AF42" i="8" s="1"/>
  <c r="AB42" i="8"/>
  <c r="X42" i="8"/>
  <c r="W42" i="8"/>
  <c r="V42" i="8"/>
  <c r="Y42" i="8" s="1"/>
  <c r="Z42" i="8" s="1"/>
  <c r="U42" i="8"/>
  <c r="T42" i="8"/>
  <c r="S42" i="8"/>
  <c r="Q42" i="8"/>
  <c r="R42" i="8" s="1"/>
  <c r="P42" i="8"/>
  <c r="O42" i="8"/>
  <c r="M42" i="8"/>
  <c r="N42" i="8" s="1"/>
  <c r="L42" i="8"/>
  <c r="K42" i="8"/>
  <c r="G42" i="8"/>
  <c r="AE41" i="8"/>
  <c r="AF41" i="8" s="1"/>
  <c r="AC41" i="8"/>
  <c r="AD41" i="8" s="1"/>
  <c r="AB41" i="8"/>
  <c r="X41" i="8"/>
  <c r="W41" i="8"/>
  <c r="U41" i="8"/>
  <c r="V41" i="8" s="1"/>
  <c r="Y41" i="8" s="1"/>
  <c r="Z41" i="8" s="1"/>
  <c r="T41" i="8"/>
  <c r="S41" i="8"/>
  <c r="R41" i="8"/>
  <c r="Q41" i="8"/>
  <c r="P41" i="8"/>
  <c r="O41" i="8"/>
  <c r="N41" i="8"/>
  <c r="M41" i="8"/>
  <c r="L41" i="8"/>
  <c r="K41" i="8"/>
  <c r="G41" i="8"/>
  <c r="AC40" i="8"/>
  <c r="AE40" i="8" s="1"/>
  <c r="AF40" i="8" s="1"/>
  <c r="AB40" i="8"/>
  <c r="X40" i="8"/>
  <c r="W40" i="8"/>
  <c r="V40" i="8"/>
  <c r="Y40" i="8" s="1"/>
  <c r="Z40" i="8" s="1"/>
  <c r="U40" i="8"/>
  <c r="S40" i="8"/>
  <c r="T40" i="8" s="1"/>
  <c r="R40" i="8"/>
  <c r="Q40" i="8"/>
  <c r="O40" i="8"/>
  <c r="P40" i="8" s="1"/>
  <c r="N40" i="8"/>
  <c r="M40" i="8"/>
  <c r="L40" i="8"/>
  <c r="K40" i="8"/>
  <c r="G40" i="8"/>
  <c r="AC39" i="8"/>
  <c r="AE39" i="8" s="1"/>
  <c r="AF39" i="8" s="1"/>
  <c r="AB39" i="8"/>
  <c r="W39" i="8"/>
  <c r="X39" i="8" s="1"/>
  <c r="V39" i="8"/>
  <c r="Y39" i="8" s="1"/>
  <c r="Z39" i="8" s="1"/>
  <c r="U39" i="8"/>
  <c r="T39" i="8"/>
  <c r="S39" i="8"/>
  <c r="R39" i="8"/>
  <c r="Q39" i="8"/>
  <c r="P39" i="8"/>
  <c r="O39" i="8"/>
  <c r="M39" i="8"/>
  <c r="N39" i="8" s="1"/>
  <c r="L39" i="8"/>
  <c r="K39" i="8"/>
  <c r="G39" i="8"/>
  <c r="AE38" i="8"/>
  <c r="AF38" i="8" s="1"/>
  <c r="AC38" i="8"/>
  <c r="AD38" i="8" s="1"/>
  <c r="AB38" i="8"/>
  <c r="X38" i="8"/>
  <c r="W38" i="8"/>
  <c r="U38" i="8"/>
  <c r="V38" i="8" s="1"/>
  <c r="Y38" i="8" s="1"/>
  <c r="Z38" i="8" s="1"/>
  <c r="T38" i="8"/>
  <c r="S38" i="8"/>
  <c r="Q38" i="8"/>
  <c r="R38" i="8" s="1"/>
  <c r="P38" i="8"/>
  <c r="O38" i="8"/>
  <c r="N38" i="8"/>
  <c r="M38" i="8"/>
  <c r="L38" i="8"/>
  <c r="K38" i="8"/>
  <c r="G38" i="8"/>
  <c r="AD37" i="8"/>
  <c r="AC37" i="8"/>
  <c r="AE37" i="8" s="1"/>
  <c r="AF37" i="8" s="1"/>
  <c r="AB37" i="8"/>
  <c r="Y37" i="8"/>
  <c r="Z37" i="8" s="1"/>
  <c r="X37" i="8"/>
  <c r="W37" i="8"/>
  <c r="V37" i="8"/>
  <c r="U37" i="8"/>
  <c r="T37" i="8"/>
  <c r="S37" i="8"/>
  <c r="R37" i="8"/>
  <c r="Q37" i="8"/>
  <c r="O37" i="8"/>
  <c r="P37" i="8" s="1"/>
  <c r="N37" i="8"/>
  <c r="M37" i="8"/>
  <c r="L37" i="8"/>
  <c r="K37" i="8"/>
  <c r="G37" i="8"/>
  <c r="AC36" i="8"/>
  <c r="AE36" i="8" s="1"/>
  <c r="AF36" i="8" s="1"/>
  <c r="AB36" i="8"/>
  <c r="W36" i="8"/>
  <c r="X36" i="8" s="1"/>
  <c r="V36" i="8"/>
  <c r="Y36" i="8" s="1"/>
  <c r="Z36" i="8" s="1"/>
  <c r="U36" i="8"/>
  <c r="S36" i="8"/>
  <c r="T36" i="8" s="1"/>
  <c r="R36" i="8"/>
  <c r="Q36" i="8"/>
  <c r="P36" i="8"/>
  <c r="O36" i="8"/>
  <c r="N36" i="8"/>
  <c r="M36" i="8"/>
  <c r="L36" i="8"/>
  <c r="K36" i="8"/>
  <c r="G36" i="8"/>
  <c r="AC35" i="8"/>
  <c r="AE35" i="8" s="1"/>
  <c r="AF35" i="8" s="1"/>
  <c r="AB35" i="8"/>
  <c r="X35" i="8"/>
  <c r="W35" i="8"/>
  <c r="V35" i="8"/>
  <c r="Y35" i="8" s="1"/>
  <c r="Z35" i="8" s="1"/>
  <c r="U35" i="8"/>
  <c r="T35" i="8"/>
  <c r="S35" i="8"/>
  <c r="Q35" i="8"/>
  <c r="R35" i="8" s="1"/>
  <c r="P35" i="8"/>
  <c r="O35" i="8"/>
  <c r="M35" i="8"/>
  <c r="N35" i="8" s="1"/>
  <c r="L35" i="8"/>
  <c r="K35" i="8"/>
  <c r="G35" i="8"/>
  <c r="AE34" i="8"/>
  <c r="AF34" i="8" s="1"/>
  <c r="AC34" i="8"/>
  <c r="AD34" i="8" s="1"/>
  <c r="AB34" i="8"/>
  <c r="X34" i="8"/>
  <c r="W34" i="8"/>
  <c r="U34" i="8"/>
  <c r="V34" i="8" s="1"/>
  <c r="Y34" i="8" s="1"/>
  <c r="Z34" i="8" s="1"/>
  <c r="T34" i="8"/>
  <c r="S34" i="8"/>
  <c r="R34" i="8"/>
  <c r="Q34" i="8"/>
  <c r="P34" i="8"/>
  <c r="O34" i="8"/>
  <c r="N34" i="8"/>
  <c r="M34" i="8"/>
  <c r="L34" i="8"/>
  <c r="K34" i="8"/>
  <c r="G34" i="8"/>
  <c r="AC33" i="8"/>
  <c r="AD33" i="8" s="1"/>
  <c r="AB33" i="8"/>
  <c r="X33" i="8"/>
  <c r="W33" i="8"/>
  <c r="V33" i="8"/>
  <c r="Y33" i="8" s="1"/>
  <c r="Z33" i="8" s="1"/>
  <c r="U33" i="8"/>
  <c r="S33" i="8"/>
  <c r="T33" i="8" s="1"/>
  <c r="R33" i="8"/>
  <c r="Q33" i="8"/>
  <c r="O33" i="8"/>
  <c r="P33" i="8" s="1"/>
  <c r="N33" i="8"/>
  <c r="M33" i="8"/>
  <c r="L33" i="8"/>
  <c r="K33" i="8"/>
  <c r="G33" i="8"/>
  <c r="AC32" i="8"/>
  <c r="AE32" i="8" s="1"/>
  <c r="AF32" i="8" s="1"/>
  <c r="AB32" i="8"/>
  <c r="W32" i="8"/>
  <c r="X32" i="8" s="1"/>
  <c r="V32" i="8"/>
  <c r="Y32" i="8" s="1"/>
  <c r="Z32" i="8" s="1"/>
  <c r="U32" i="8"/>
  <c r="T32" i="8"/>
  <c r="S32" i="8"/>
  <c r="R32" i="8"/>
  <c r="Q32" i="8"/>
  <c r="P32" i="8"/>
  <c r="O32" i="8"/>
  <c r="M32" i="8"/>
  <c r="N32" i="8" s="1"/>
  <c r="L32" i="8"/>
  <c r="K32" i="8"/>
  <c r="G32" i="8"/>
  <c r="AE31" i="8"/>
  <c r="AF31" i="8" s="1"/>
  <c r="AC31" i="8"/>
  <c r="AD31" i="8" s="1"/>
  <c r="AB31" i="8"/>
  <c r="X31" i="8"/>
  <c r="W31" i="8"/>
  <c r="U31" i="8"/>
  <c r="V31" i="8" s="1"/>
  <c r="Y31" i="8" s="1"/>
  <c r="Z31" i="8" s="1"/>
  <c r="T31" i="8"/>
  <c r="S31" i="8"/>
  <c r="Q31" i="8"/>
  <c r="R31" i="8" s="1"/>
  <c r="P31" i="8"/>
  <c r="O31" i="8"/>
  <c r="N31" i="8"/>
  <c r="M31" i="8"/>
  <c r="L31" i="8"/>
  <c r="K31" i="8"/>
  <c r="G31" i="8"/>
  <c r="AA30" i="8"/>
  <c r="AC30" i="8" s="1"/>
  <c r="Z30" i="8"/>
  <c r="R30" i="8"/>
  <c r="Q30" i="8"/>
  <c r="S30" i="8" s="1"/>
  <c r="P30" i="8"/>
  <c r="N30" i="8"/>
  <c r="M30" i="8"/>
  <c r="L30" i="8"/>
  <c r="K30" i="8"/>
  <c r="I30" i="8"/>
  <c r="G30" i="8"/>
  <c r="AC29" i="8"/>
  <c r="AE29" i="8" s="1"/>
  <c r="AF29" i="8" s="1"/>
  <c r="AA29" i="8"/>
  <c r="AB29" i="8" s="1"/>
  <c r="Z29" i="8"/>
  <c r="S29" i="8"/>
  <c r="U29" i="8" s="1"/>
  <c r="R29" i="8"/>
  <c r="Q29" i="8"/>
  <c r="P29" i="8"/>
  <c r="M29" i="8"/>
  <c r="N29" i="8" s="1"/>
  <c r="L29" i="8"/>
  <c r="K29" i="8"/>
  <c r="G29" i="8"/>
  <c r="AA28" i="8"/>
  <c r="AC28" i="8" s="1"/>
  <c r="Z28" i="8"/>
  <c r="U28" i="8"/>
  <c r="W28" i="8" s="1"/>
  <c r="X28" i="8" s="1"/>
  <c r="S28" i="8"/>
  <c r="T28" i="8" s="1"/>
  <c r="Q28" i="8"/>
  <c r="R28" i="8" s="1"/>
  <c r="P28" i="8"/>
  <c r="N28" i="8"/>
  <c r="M28" i="8"/>
  <c r="L28" i="8"/>
  <c r="K28" i="8"/>
  <c r="G28" i="8"/>
  <c r="AC27" i="8"/>
  <c r="AE27" i="8" s="1"/>
  <c r="AF27" i="8" s="1"/>
  <c r="AA27" i="8"/>
  <c r="AB27" i="8" s="1"/>
  <c r="Z27" i="8"/>
  <c r="S27" i="8"/>
  <c r="U27" i="8" s="1"/>
  <c r="R27" i="8"/>
  <c r="Q27" i="8"/>
  <c r="P27" i="8"/>
  <c r="M27" i="8"/>
  <c r="N27" i="8" s="1"/>
  <c r="L27" i="8"/>
  <c r="K27" i="8"/>
  <c r="I27" i="8"/>
  <c r="G27" i="8"/>
  <c r="AA26" i="8"/>
  <c r="AB26" i="8" s="1"/>
  <c r="Z26" i="8"/>
  <c r="Q26" i="8"/>
  <c r="S26" i="8" s="1"/>
  <c r="P26" i="8"/>
  <c r="M26" i="8"/>
  <c r="N26" i="8" s="1"/>
  <c r="L26" i="8"/>
  <c r="K26" i="8"/>
  <c r="G26" i="8"/>
  <c r="AB25" i="8"/>
  <c r="AA25" i="8"/>
  <c r="AC25" i="8" s="1"/>
  <c r="Z25" i="8"/>
  <c r="S25" i="8"/>
  <c r="T25" i="8" s="1"/>
  <c r="Q25" i="8"/>
  <c r="R25" i="8" s="1"/>
  <c r="P25" i="8"/>
  <c r="N25" i="8"/>
  <c r="M25" i="8"/>
  <c r="L25" i="8"/>
  <c r="K25" i="8"/>
  <c r="I25" i="8"/>
  <c r="G25" i="8"/>
  <c r="AC24" i="8"/>
  <c r="AE24" i="8" s="1"/>
  <c r="AF24" i="8" s="1"/>
  <c r="AB24" i="8"/>
  <c r="AA24" i="8"/>
  <c r="Z24" i="8"/>
  <c r="R24" i="8"/>
  <c r="Q24" i="8"/>
  <c r="S24" i="8" s="1"/>
  <c r="P24" i="8"/>
  <c r="M24" i="8"/>
  <c r="N24" i="8" s="1"/>
  <c r="L24" i="8"/>
  <c r="K24" i="8"/>
  <c r="G24" i="8"/>
  <c r="AA23" i="8"/>
  <c r="AC23" i="8" s="1"/>
  <c r="Z23" i="8"/>
  <c r="U23" i="8"/>
  <c r="W23" i="8" s="1"/>
  <c r="X23" i="8" s="1"/>
  <c r="T23" i="8"/>
  <c r="S23" i="8"/>
  <c r="R23" i="8"/>
  <c r="Q23" i="8"/>
  <c r="P23" i="8"/>
  <c r="M23" i="8"/>
  <c r="N23" i="8" s="1"/>
  <c r="L23" i="8"/>
  <c r="K23" i="8"/>
  <c r="G23" i="8"/>
  <c r="AC22" i="8"/>
  <c r="AE22" i="8" s="1"/>
  <c r="AF22" i="8" s="1"/>
  <c r="AB22" i="8"/>
  <c r="AA22" i="8"/>
  <c r="Z22" i="8"/>
  <c r="R22" i="8"/>
  <c r="Q22" i="8"/>
  <c r="S22" i="8" s="1"/>
  <c r="P22" i="8"/>
  <c r="M22" i="8"/>
  <c r="N22" i="8" s="1"/>
  <c r="L22" i="8"/>
  <c r="K22" i="8"/>
  <c r="G22" i="8"/>
  <c r="AE21" i="8"/>
  <c r="AF21" i="8" s="1"/>
  <c r="AC21" i="8"/>
  <c r="AD21" i="8" s="1"/>
  <c r="AA21" i="8"/>
  <c r="AB21" i="8" s="1"/>
  <c r="Z21" i="8"/>
  <c r="U21" i="8"/>
  <c r="W21" i="8" s="1"/>
  <c r="X21" i="8" s="1"/>
  <c r="T21" i="8"/>
  <c r="S21" i="8"/>
  <c r="R21" i="8"/>
  <c r="Q21" i="8"/>
  <c r="P21" i="8"/>
  <c r="M21" i="8"/>
  <c r="N21" i="8" s="1"/>
  <c r="L21" i="8"/>
  <c r="K21" i="8"/>
  <c r="G21" i="8"/>
  <c r="AC20" i="8"/>
  <c r="AE20" i="8" s="1"/>
  <c r="AF20" i="8" s="1"/>
  <c r="AB20" i="8"/>
  <c r="AA20" i="8"/>
  <c r="Z20" i="8"/>
  <c r="R20" i="8"/>
  <c r="Q20" i="8"/>
  <c r="S20" i="8" s="1"/>
  <c r="P20" i="8"/>
  <c r="M20" i="8"/>
  <c r="N20" i="8" s="1"/>
  <c r="L20" i="8"/>
  <c r="K20" i="8"/>
  <c r="I20" i="8"/>
  <c r="G20" i="8"/>
  <c r="AA19" i="8"/>
  <c r="AC19" i="8" s="1"/>
  <c r="Z19" i="8"/>
  <c r="Q19" i="8"/>
  <c r="S19" i="8" s="1"/>
  <c r="P19" i="8"/>
  <c r="N19" i="8"/>
  <c r="M19" i="8"/>
  <c r="L19" i="8"/>
  <c r="K19" i="8"/>
  <c r="I19" i="8"/>
  <c r="G19" i="8"/>
  <c r="AE18" i="8"/>
  <c r="AF18" i="8" s="1"/>
  <c r="AD18" i="8"/>
  <c r="AC18" i="8"/>
  <c r="AB18" i="8"/>
  <c r="AA18" i="8"/>
  <c r="Z18" i="8"/>
  <c r="Q18" i="8"/>
  <c r="S18" i="8" s="1"/>
  <c r="P18" i="8"/>
  <c r="N18" i="8"/>
  <c r="M18" i="8"/>
  <c r="L18" i="8"/>
  <c r="K18" i="8"/>
  <c r="G18" i="8"/>
  <c r="AB17" i="8"/>
  <c r="AA17" i="8"/>
  <c r="AC17" i="8" s="1"/>
  <c r="Z17" i="8"/>
  <c r="W17" i="8"/>
  <c r="X17" i="8" s="1"/>
  <c r="V17" i="8"/>
  <c r="U17" i="8"/>
  <c r="T17" i="8"/>
  <c r="S17" i="8"/>
  <c r="R17" i="8"/>
  <c r="Q17" i="8"/>
  <c r="P17" i="8"/>
  <c r="M17" i="8"/>
  <c r="N17" i="8" s="1"/>
  <c r="L17" i="8"/>
  <c r="K17" i="8"/>
  <c r="G17" i="8"/>
  <c r="AE16" i="8"/>
  <c r="AF16" i="8" s="1"/>
  <c r="AD16" i="8"/>
  <c r="AC16" i="8"/>
  <c r="AB16" i="8"/>
  <c r="AA16" i="8"/>
  <c r="Z16" i="8"/>
  <c r="Q16" i="8"/>
  <c r="S16" i="8" s="1"/>
  <c r="P16" i="8"/>
  <c r="N16" i="8"/>
  <c r="M16" i="8"/>
  <c r="L16" i="8"/>
  <c r="K16" i="8"/>
  <c r="G16" i="8"/>
  <c r="AB15" i="8"/>
  <c r="AA15" i="8"/>
  <c r="AC15" i="8" s="1"/>
  <c r="Z15" i="8"/>
  <c r="W15" i="8"/>
  <c r="X15" i="8" s="1"/>
  <c r="V15" i="8"/>
  <c r="U15" i="8"/>
  <c r="T15" i="8"/>
  <c r="S15" i="8"/>
  <c r="R15" i="8"/>
  <c r="Q15" i="8"/>
  <c r="P15" i="8"/>
  <c r="M15" i="8"/>
  <c r="N15" i="8" s="1"/>
  <c r="L15" i="8"/>
  <c r="K15" i="8"/>
  <c r="G15" i="8"/>
  <c r="AE14" i="8"/>
  <c r="AF14" i="8" s="1"/>
  <c r="AD14" i="8"/>
  <c r="AC14" i="8"/>
  <c r="AB14" i="8"/>
  <c r="AA14" i="8"/>
  <c r="Z14" i="8"/>
  <c r="Q14" i="8"/>
  <c r="S14" i="8" s="1"/>
  <c r="P14" i="8"/>
  <c r="N14" i="8"/>
  <c r="M14" i="8"/>
  <c r="L14" i="8"/>
  <c r="K14" i="8"/>
  <c r="G14" i="8"/>
  <c r="AA13" i="8"/>
  <c r="AB13" i="8" s="1"/>
  <c r="Z13" i="8"/>
  <c r="W13" i="8"/>
  <c r="X13" i="8" s="1"/>
  <c r="V13" i="8"/>
  <c r="U13" i="8"/>
  <c r="S13" i="8"/>
  <c r="T13" i="8" s="1"/>
  <c r="R13" i="8"/>
  <c r="Q13" i="8"/>
  <c r="P13" i="8"/>
  <c r="M13" i="8"/>
  <c r="N13" i="8" s="1"/>
  <c r="L13" i="8"/>
  <c r="K13" i="8"/>
  <c r="G13" i="8"/>
  <c r="AE12" i="8"/>
  <c r="AF12" i="8" s="1"/>
  <c r="AD12" i="8"/>
  <c r="AC12" i="8"/>
  <c r="AA12" i="8"/>
  <c r="AB12" i="8" s="1"/>
  <c r="Z12" i="8"/>
  <c r="S12" i="8"/>
  <c r="U12" i="8" s="1"/>
  <c r="Q12" i="8"/>
  <c r="R12" i="8" s="1"/>
  <c r="P12" i="8"/>
  <c r="N12" i="8"/>
  <c r="M12" i="8"/>
  <c r="L12" i="8"/>
  <c r="K12" i="8"/>
  <c r="G12" i="8"/>
  <c r="AA11" i="8"/>
  <c r="AB11" i="8" s="1"/>
  <c r="Z11" i="8"/>
  <c r="W11" i="8"/>
  <c r="X11" i="8" s="1"/>
  <c r="V11" i="8"/>
  <c r="U11" i="8"/>
  <c r="S11" i="8"/>
  <c r="T11" i="8" s="1"/>
  <c r="R11" i="8"/>
  <c r="Q11" i="8"/>
  <c r="P11" i="8"/>
  <c r="M11" i="8"/>
  <c r="N11" i="8" s="1"/>
  <c r="L11" i="8"/>
  <c r="K11" i="8"/>
  <c r="G11" i="8"/>
  <c r="AE10" i="8"/>
  <c r="AF10" i="8" s="1"/>
  <c r="AD10" i="8"/>
  <c r="AC10" i="8"/>
  <c r="AA10" i="8"/>
  <c r="AB10" i="8" s="1"/>
  <c r="Z10" i="8"/>
  <c r="S10" i="8"/>
  <c r="T10" i="8" s="1"/>
  <c r="Q10" i="8"/>
  <c r="R10" i="8" s="1"/>
  <c r="P10" i="8"/>
  <c r="N10" i="8"/>
  <c r="M10" i="8"/>
  <c r="L10" i="8"/>
  <c r="K10" i="8"/>
  <c r="G10" i="8"/>
  <c r="AA9" i="8"/>
  <c r="AB9" i="8" s="1"/>
  <c r="Z9" i="8"/>
  <c r="V9" i="8"/>
  <c r="U9" i="8"/>
  <c r="W9" i="8" s="1"/>
  <c r="X9" i="8" s="1"/>
  <c r="S9" i="8"/>
  <c r="T9" i="8" s="1"/>
  <c r="R9" i="8"/>
  <c r="Q9" i="8"/>
  <c r="P9" i="8"/>
  <c r="M9" i="8"/>
  <c r="N9" i="8" s="1"/>
  <c r="L9" i="8"/>
  <c r="K9" i="8"/>
  <c r="G9" i="8"/>
  <c r="AD8" i="8"/>
  <c r="AC8" i="8"/>
  <c r="AE8" i="8" s="1"/>
  <c r="AF8" i="8" s="1"/>
  <c r="AA8" i="8"/>
  <c r="AB8" i="8" s="1"/>
  <c r="Z8" i="8"/>
  <c r="S8" i="8"/>
  <c r="T8" i="8" s="1"/>
  <c r="Q8" i="8"/>
  <c r="R8" i="8" s="1"/>
  <c r="P8" i="8"/>
  <c r="N8" i="8"/>
  <c r="M8" i="8"/>
  <c r="L8" i="8"/>
  <c r="K8" i="8"/>
  <c r="G8" i="8"/>
  <c r="AA7" i="8"/>
  <c r="AB7" i="8" s="1"/>
  <c r="Z7" i="8"/>
  <c r="V7" i="8"/>
  <c r="U7" i="8"/>
  <c r="W7" i="8" s="1"/>
  <c r="X7" i="8" s="1"/>
  <c r="S7" i="8"/>
  <c r="T7" i="8" s="1"/>
  <c r="R7" i="8"/>
  <c r="Q7" i="8"/>
  <c r="P7" i="8"/>
  <c r="M7" i="8"/>
  <c r="N7" i="8" s="1"/>
  <c r="L7" i="8"/>
  <c r="K7" i="8"/>
  <c r="G7" i="8"/>
  <c r="AC49" i="7"/>
  <c r="AE49" i="7" s="1"/>
  <c r="AF49" i="7" s="1"/>
  <c r="AB49" i="7"/>
  <c r="W49" i="7"/>
  <c r="X49" i="7" s="1"/>
  <c r="U49" i="7"/>
  <c r="V49" i="7" s="1"/>
  <c r="Y49" i="7" s="1"/>
  <c r="Z49" i="7" s="1"/>
  <c r="T49" i="7"/>
  <c r="S49" i="7"/>
  <c r="Q49" i="7"/>
  <c r="R49" i="7" s="1"/>
  <c r="O49" i="7"/>
  <c r="P49" i="7" s="1"/>
  <c r="N49" i="7"/>
  <c r="M49" i="7"/>
  <c r="L49" i="7"/>
  <c r="K49" i="7"/>
  <c r="G49" i="7"/>
  <c r="AC48" i="7"/>
  <c r="AE48" i="7" s="1"/>
  <c r="AF48" i="7" s="1"/>
  <c r="AB48" i="7"/>
  <c r="W48" i="7"/>
  <c r="X48" i="7" s="1"/>
  <c r="V48" i="7"/>
  <c r="Y48" i="7" s="1"/>
  <c r="Z48" i="7" s="1"/>
  <c r="U48" i="7"/>
  <c r="S48" i="7"/>
  <c r="T48" i="7" s="1"/>
  <c r="R48" i="7"/>
  <c r="Q48" i="7"/>
  <c r="P48" i="7"/>
  <c r="O48" i="7"/>
  <c r="N48" i="7"/>
  <c r="M48" i="7"/>
  <c r="L48" i="7"/>
  <c r="K48" i="7"/>
  <c r="G48" i="7"/>
  <c r="AE47" i="7"/>
  <c r="AF47" i="7" s="1"/>
  <c r="AC47" i="7"/>
  <c r="AD47" i="7" s="1"/>
  <c r="AB47" i="7"/>
  <c r="X47" i="7"/>
  <c r="W47" i="7"/>
  <c r="V47" i="7"/>
  <c r="Y47" i="7" s="1"/>
  <c r="Z47" i="7" s="1"/>
  <c r="U47" i="7"/>
  <c r="T47" i="7"/>
  <c r="S47" i="7"/>
  <c r="R47" i="7"/>
  <c r="Q47" i="7"/>
  <c r="P47" i="7"/>
  <c r="O47" i="7"/>
  <c r="N47" i="7"/>
  <c r="M47" i="7"/>
  <c r="L47" i="7"/>
  <c r="K47" i="7"/>
  <c r="G47" i="7"/>
  <c r="AC46" i="7"/>
  <c r="AE46" i="7" s="1"/>
  <c r="AF46" i="7" s="1"/>
  <c r="AB46" i="7"/>
  <c r="X46" i="7"/>
  <c r="W46" i="7"/>
  <c r="V46" i="7"/>
  <c r="Y46" i="7" s="1"/>
  <c r="Z46" i="7" s="1"/>
  <c r="U46" i="7"/>
  <c r="T46" i="7"/>
  <c r="S46" i="7"/>
  <c r="R46" i="7"/>
  <c r="Q46" i="7"/>
  <c r="P46" i="7"/>
  <c r="O46" i="7"/>
  <c r="N46" i="7"/>
  <c r="M46" i="7"/>
  <c r="L46" i="7"/>
  <c r="K46" i="7"/>
  <c r="G46" i="7"/>
  <c r="AC45" i="7"/>
  <c r="AE45" i="7" s="1"/>
  <c r="AF45" i="7" s="1"/>
  <c r="AB45" i="7"/>
  <c r="X45" i="7"/>
  <c r="W45" i="7"/>
  <c r="V45" i="7"/>
  <c r="Y45" i="7" s="1"/>
  <c r="Z45" i="7" s="1"/>
  <c r="U45" i="7"/>
  <c r="T45" i="7"/>
  <c r="S45" i="7"/>
  <c r="R45" i="7"/>
  <c r="Q45" i="7"/>
  <c r="P45" i="7"/>
  <c r="O45" i="7"/>
  <c r="N45" i="7"/>
  <c r="M45" i="7"/>
  <c r="L45" i="7"/>
  <c r="K45" i="7"/>
  <c r="G45" i="7"/>
  <c r="AE44" i="7"/>
  <c r="AF44" i="7" s="1"/>
  <c r="AC44" i="7"/>
  <c r="AD44" i="7" s="1"/>
  <c r="AB44" i="7"/>
  <c r="X44" i="7"/>
  <c r="W44" i="7"/>
  <c r="V44" i="7"/>
  <c r="Y44" i="7" s="1"/>
  <c r="Z44" i="7" s="1"/>
  <c r="U44" i="7"/>
  <c r="T44" i="7"/>
  <c r="S44" i="7"/>
  <c r="R44" i="7"/>
  <c r="Q44" i="7"/>
  <c r="P44" i="7"/>
  <c r="O44" i="7"/>
  <c r="N44" i="7"/>
  <c r="M44" i="7"/>
  <c r="L44" i="7"/>
  <c r="K44" i="7"/>
  <c r="G44" i="7"/>
  <c r="AE43" i="7"/>
  <c r="AF43" i="7" s="1"/>
  <c r="AC43" i="7"/>
  <c r="AD43" i="7" s="1"/>
  <c r="AB43" i="7"/>
  <c r="X43" i="7"/>
  <c r="W43" i="7"/>
  <c r="V43" i="7"/>
  <c r="Y43" i="7" s="1"/>
  <c r="Z43" i="7" s="1"/>
  <c r="U43" i="7"/>
  <c r="T43" i="7"/>
  <c r="S43" i="7"/>
  <c r="R43" i="7"/>
  <c r="Q43" i="7"/>
  <c r="P43" i="7"/>
  <c r="O43" i="7"/>
  <c r="N43" i="7"/>
  <c r="M43" i="7"/>
  <c r="L43" i="7"/>
  <c r="K43" i="7"/>
  <c r="G43" i="7"/>
  <c r="AC42" i="7"/>
  <c r="AE42" i="7" s="1"/>
  <c r="AF42" i="7" s="1"/>
  <c r="AB42" i="7"/>
  <c r="X42" i="7"/>
  <c r="W42" i="7"/>
  <c r="V42" i="7"/>
  <c r="Y42" i="7" s="1"/>
  <c r="Z42" i="7" s="1"/>
  <c r="U42" i="7"/>
  <c r="T42" i="7"/>
  <c r="S42" i="7"/>
  <c r="R42" i="7"/>
  <c r="Q42" i="7"/>
  <c r="P42" i="7"/>
  <c r="O42" i="7"/>
  <c r="N42" i="7"/>
  <c r="M42" i="7"/>
  <c r="L42" i="7"/>
  <c r="K42" i="7"/>
  <c r="G42" i="7"/>
  <c r="AC41" i="7"/>
  <c r="AE41" i="7" s="1"/>
  <c r="AF41" i="7" s="1"/>
  <c r="AB41" i="7"/>
  <c r="X41" i="7"/>
  <c r="W41" i="7"/>
  <c r="V41" i="7"/>
  <c r="Y41" i="7" s="1"/>
  <c r="Z41" i="7" s="1"/>
  <c r="U41" i="7"/>
  <c r="T41" i="7"/>
  <c r="S41" i="7"/>
  <c r="R41" i="7"/>
  <c r="Q41" i="7"/>
  <c r="P41" i="7"/>
  <c r="O41" i="7"/>
  <c r="N41" i="7"/>
  <c r="M41" i="7"/>
  <c r="L41" i="7"/>
  <c r="K41" i="7"/>
  <c r="G41" i="7"/>
  <c r="AC40" i="7"/>
  <c r="AE40" i="7" s="1"/>
  <c r="AF40" i="7" s="1"/>
  <c r="AB40" i="7"/>
  <c r="X40" i="7"/>
  <c r="W40" i="7"/>
  <c r="V40" i="7"/>
  <c r="Y40" i="7" s="1"/>
  <c r="Z40" i="7" s="1"/>
  <c r="U40" i="7"/>
  <c r="T40" i="7"/>
  <c r="S40" i="7"/>
  <c r="R40" i="7"/>
  <c r="Q40" i="7"/>
  <c r="P40" i="7"/>
  <c r="O40" i="7"/>
  <c r="N40" i="7"/>
  <c r="M40" i="7"/>
  <c r="L40" i="7"/>
  <c r="K40" i="7"/>
  <c r="G40" i="7"/>
  <c r="AC39" i="7"/>
  <c r="AE39" i="7" s="1"/>
  <c r="AF39" i="7" s="1"/>
  <c r="AB39" i="7"/>
  <c r="X39" i="7"/>
  <c r="W39" i="7"/>
  <c r="V39" i="7"/>
  <c r="Y39" i="7" s="1"/>
  <c r="Z39" i="7" s="1"/>
  <c r="U39" i="7"/>
  <c r="T39" i="7"/>
  <c r="S39" i="7"/>
  <c r="R39" i="7"/>
  <c r="Q39" i="7"/>
  <c r="P39" i="7"/>
  <c r="O39" i="7"/>
  <c r="N39" i="7"/>
  <c r="M39" i="7"/>
  <c r="L39" i="7"/>
  <c r="K39" i="7"/>
  <c r="G39" i="7"/>
  <c r="AC38" i="7"/>
  <c r="AE38" i="7" s="1"/>
  <c r="AF38" i="7" s="1"/>
  <c r="AB38" i="7"/>
  <c r="X38" i="7"/>
  <c r="W38" i="7"/>
  <c r="V38" i="7"/>
  <c r="Y38" i="7" s="1"/>
  <c r="Z38" i="7" s="1"/>
  <c r="U38" i="7"/>
  <c r="T38" i="7"/>
  <c r="S38" i="7"/>
  <c r="R38" i="7"/>
  <c r="Q38" i="7"/>
  <c r="P38" i="7"/>
  <c r="O38" i="7"/>
  <c r="N38" i="7"/>
  <c r="M38" i="7"/>
  <c r="L38" i="7"/>
  <c r="K38" i="7"/>
  <c r="G38" i="7"/>
  <c r="AE37" i="7"/>
  <c r="AF37" i="7" s="1"/>
  <c r="AC37" i="7"/>
  <c r="AD37" i="7" s="1"/>
  <c r="AB37" i="7"/>
  <c r="X37" i="7"/>
  <c r="W37" i="7"/>
  <c r="V37" i="7"/>
  <c r="Y37" i="7" s="1"/>
  <c r="Z37" i="7" s="1"/>
  <c r="U37" i="7"/>
  <c r="T37" i="7"/>
  <c r="S37" i="7"/>
  <c r="R37" i="7"/>
  <c r="Q37" i="7"/>
  <c r="P37" i="7"/>
  <c r="O37" i="7"/>
  <c r="N37" i="7"/>
  <c r="M37" i="7"/>
  <c r="L37" i="7"/>
  <c r="K37" i="7"/>
  <c r="G37" i="7"/>
  <c r="AE36" i="7"/>
  <c r="AF36" i="7" s="1"/>
  <c r="AC36" i="7"/>
  <c r="AD36" i="7" s="1"/>
  <c r="AB36" i="7"/>
  <c r="X36" i="7"/>
  <c r="W36" i="7"/>
  <c r="V36" i="7"/>
  <c r="Y36" i="7" s="1"/>
  <c r="Z36" i="7" s="1"/>
  <c r="U36" i="7"/>
  <c r="T36" i="7"/>
  <c r="S36" i="7"/>
  <c r="R36" i="7"/>
  <c r="Q36" i="7"/>
  <c r="P36" i="7"/>
  <c r="O36" i="7"/>
  <c r="N36" i="7"/>
  <c r="M36" i="7"/>
  <c r="L36" i="7"/>
  <c r="K36" i="7"/>
  <c r="G36" i="7"/>
  <c r="AC35" i="7"/>
  <c r="AE35" i="7" s="1"/>
  <c r="AF35" i="7" s="1"/>
  <c r="AB35" i="7"/>
  <c r="X35" i="7"/>
  <c r="W35" i="7"/>
  <c r="V35" i="7"/>
  <c r="Y35" i="7" s="1"/>
  <c r="Z35" i="7" s="1"/>
  <c r="U35" i="7"/>
  <c r="T35" i="7"/>
  <c r="S35" i="7"/>
  <c r="R35" i="7"/>
  <c r="Q35" i="7"/>
  <c r="P35" i="7"/>
  <c r="O35" i="7"/>
  <c r="N35" i="7"/>
  <c r="M35" i="7"/>
  <c r="L35" i="7"/>
  <c r="K35" i="7"/>
  <c r="G35" i="7"/>
  <c r="AC34" i="7"/>
  <c r="AE34" i="7" s="1"/>
  <c r="AF34" i="7" s="1"/>
  <c r="AB34" i="7"/>
  <c r="X34" i="7"/>
  <c r="W34" i="7"/>
  <c r="V34" i="7"/>
  <c r="Y34" i="7" s="1"/>
  <c r="Z34" i="7" s="1"/>
  <c r="U34" i="7"/>
  <c r="T34" i="7"/>
  <c r="S34" i="7"/>
  <c r="R34" i="7"/>
  <c r="Q34" i="7"/>
  <c r="P34" i="7"/>
  <c r="O34" i="7"/>
  <c r="N34" i="7"/>
  <c r="M34" i="7"/>
  <c r="L34" i="7"/>
  <c r="K34" i="7"/>
  <c r="G34" i="7"/>
  <c r="AC33" i="7"/>
  <c r="AE33" i="7" s="1"/>
  <c r="AF33" i="7" s="1"/>
  <c r="AB33" i="7"/>
  <c r="X33" i="7"/>
  <c r="W33" i="7"/>
  <c r="V33" i="7"/>
  <c r="Y33" i="7" s="1"/>
  <c r="Z33" i="7" s="1"/>
  <c r="U33" i="7"/>
  <c r="T33" i="7"/>
  <c r="S33" i="7"/>
  <c r="R33" i="7"/>
  <c r="Q33" i="7"/>
  <c r="P33" i="7"/>
  <c r="O33" i="7"/>
  <c r="N33" i="7"/>
  <c r="M33" i="7"/>
  <c r="L33" i="7"/>
  <c r="K33" i="7"/>
  <c r="G33" i="7"/>
  <c r="AC32" i="7"/>
  <c r="AE32" i="7" s="1"/>
  <c r="AF32" i="7" s="1"/>
  <c r="AB32" i="7"/>
  <c r="X32" i="7"/>
  <c r="W32" i="7"/>
  <c r="V32" i="7"/>
  <c r="Y32" i="7" s="1"/>
  <c r="Z32" i="7" s="1"/>
  <c r="U32" i="7"/>
  <c r="T32" i="7"/>
  <c r="S32" i="7"/>
  <c r="R32" i="7"/>
  <c r="Q32" i="7"/>
  <c r="P32" i="7"/>
  <c r="O32" i="7"/>
  <c r="N32" i="7"/>
  <c r="M32" i="7"/>
  <c r="L32" i="7"/>
  <c r="K32" i="7"/>
  <c r="G32" i="7"/>
  <c r="AC31" i="7"/>
  <c r="AE31" i="7" s="1"/>
  <c r="AF31" i="7" s="1"/>
  <c r="AB31" i="7"/>
  <c r="X31" i="7"/>
  <c r="W31" i="7"/>
  <c r="V31" i="7"/>
  <c r="Y31" i="7" s="1"/>
  <c r="Z31" i="7" s="1"/>
  <c r="U31" i="7"/>
  <c r="T31" i="7"/>
  <c r="S31" i="7"/>
  <c r="R31" i="7"/>
  <c r="Q31" i="7"/>
  <c r="P31" i="7"/>
  <c r="O31" i="7"/>
  <c r="N31" i="7"/>
  <c r="M31" i="7"/>
  <c r="L31" i="7"/>
  <c r="K31" i="7"/>
  <c r="G31" i="7"/>
  <c r="AE30" i="7"/>
  <c r="AF30" i="7" s="1"/>
  <c r="AC30" i="7"/>
  <c r="AD30" i="7" s="1"/>
  <c r="AB30" i="7"/>
  <c r="X30" i="7"/>
  <c r="W30" i="7"/>
  <c r="V30" i="7"/>
  <c r="Y30" i="7" s="1"/>
  <c r="Z30" i="7" s="1"/>
  <c r="U30" i="7"/>
  <c r="T30" i="7"/>
  <c r="S30" i="7"/>
  <c r="R30" i="7"/>
  <c r="Q30" i="7"/>
  <c r="P30" i="7"/>
  <c r="O30" i="7"/>
  <c r="N30" i="7"/>
  <c r="M30" i="7"/>
  <c r="L30" i="7"/>
  <c r="K30" i="7"/>
  <c r="G30" i="7"/>
  <c r="AA29" i="7"/>
  <c r="AC29" i="7" s="1"/>
  <c r="Z29" i="7"/>
  <c r="T29" i="7"/>
  <c r="S29" i="7"/>
  <c r="U29" i="7" s="1"/>
  <c r="R29" i="7"/>
  <c r="Q29" i="7"/>
  <c r="P29" i="7"/>
  <c r="M29" i="7"/>
  <c r="N29" i="7" s="1"/>
  <c r="L29" i="7"/>
  <c r="K29" i="7"/>
  <c r="G29" i="7"/>
  <c r="AB28" i="7"/>
  <c r="AA28" i="7"/>
  <c r="AC28" i="7" s="1"/>
  <c r="Z28" i="7"/>
  <c r="Q28" i="7"/>
  <c r="R28" i="7" s="1"/>
  <c r="P28" i="7"/>
  <c r="N28" i="7"/>
  <c r="M28" i="7"/>
  <c r="L28" i="7"/>
  <c r="K28" i="7"/>
  <c r="G28" i="7"/>
  <c r="AA27" i="7"/>
  <c r="AC27" i="7" s="1"/>
  <c r="Z27" i="7"/>
  <c r="Q27" i="7"/>
  <c r="S27" i="7" s="1"/>
  <c r="P27" i="7"/>
  <c r="M27" i="7"/>
  <c r="N27" i="7" s="1"/>
  <c r="L27" i="7"/>
  <c r="K27" i="7"/>
  <c r="G27" i="7"/>
  <c r="AB26" i="7"/>
  <c r="AA26" i="7"/>
  <c r="AC26" i="7" s="1"/>
  <c r="Z26" i="7"/>
  <c r="Q26" i="7"/>
  <c r="R26" i="7" s="1"/>
  <c r="P26" i="7"/>
  <c r="N26" i="7"/>
  <c r="M26" i="7"/>
  <c r="L26" i="7"/>
  <c r="K26" i="7"/>
  <c r="G26" i="7"/>
  <c r="AA25" i="7"/>
  <c r="AC25" i="7" s="1"/>
  <c r="Z25" i="7"/>
  <c r="Q25" i="7"/>
  <c r="S25" i="7" s="1"/>
  <c r="P25" i="7"/>
  <c r="M25" i="7"/>
  <c r="N25" i="7" s="1"/>
  <c r="L25" i="7"/>
  <c r="K25" i="7"/>
  <c r="G25" i="7"/>
  <c r="AB24" i="7"/>
  <c r="AA24" i="7"/>
  <c r="AC24" i="7" s="1"/>
  <c r="Z24" i="7"/>
  <c r="Q24" i="7"/>
  <c r="S24" i="7" s="1"/>
  <c r="P24" i="7"/>
  <c r="N24" i="7"/>
  <c r="M24" i="7"/>
  <c r="L24" i="7"/>
  <c r="K24" i="7"/>
  <c r="G24" i="7"/>
  <c r="AA23" i="7"/>
  <c r="AC23" i="7" s="1"/>
  <c r="Z23" i="7"/>
  <c r="Q23" i="7"/>
  <c r="S23" i="7" s="1"/>
  <c r="P23" i="7"/>
  <c r="M23" i="7"/>
  <c r="N23" i="7" s="1"/>
  <c r="L23" i="7"/>
  <c r="K23" i="7"/>
  <c r="G23" i="7"/>
  <c r="AB22" i="7"/>
  <c r="AA22" i="7"/>
  <c r="AC22" i="7" s="1"/>
  <c r="Z22" i="7"/>
  <c r="Q22" i="7"/>
  <c r="R22" i="7" s="1"/>
  <c r="P22" i="7"/>
  <c r="N22" i="7"/>
  <c r="M22" i="7"/>
  <c r="L22" i="7"/>
  <c r="K22" i="7"/>
  <c r="G22" i="7"/>
  <c r="AA21" i="7"/>
  <c r="AC21" i="7" s="1"/>
  <c r="Z21" i="7"/>
  <c r="Q21" i="7"/>
  <c r="R21" i="7" s="1"/>
  <c r="P21" i="7"/>
  <c r="M21" i="7"/>
  <c r="N21" i="7" s="1"/>
  <c r="L21" i="7"/>
  <c r="K21" i="7"/>
  <c r="G21" i="7"/>
  <c r="AA20" i="7"/>
  <c r="AC20" i="7" s="1"/>
  <c r="Z20" i="7"/>
  <c r="Q20" i="7"/>
  <c r="S20" i="7" s="1"/>
  <c r="P20" i="7"/>
  <c r="M20" i="7"/>
  <c r="N20" i="7" s="1"/>
  <c r="L20" i="7"/>
  <c r="K20" i="7"/>
  <c r="G20" i="7"/>
  <c r="AA19" i="7"/>
  <c r="AC19" i="7" s="1"/>
  <c r="Z19" i="7"/>
  <c r="Q19" i="7"/>
  <c r="R19" i="7" s="1"/>
  <c r="P19" i="7"/>
  <c r="M19" i="7"/>
  <c r="N19" i="7" s="1"/>
  <c r="L19" i="7"/>
  <c r="K19" i="7"/>
  <c r="G19" i="7"/>
  <c r="AA18" i="7"/>
  <c r="AC18" i="7" s="1"/>
  <c r="Z18" i="7"/>
  <c r="Q18" i="7"/>
  <c r="R18" i="7" s="1"/>
  <c r="P18" i="7"/>
  <c r="M18" i="7"/>
  <c r="N18" i="7" s="1"/>
  <c r="L18" i="7"/>
  <c r="K18" i="7"/>
  <c r="G18" i="7"/>
  <c r="AA17" i="7"/>
  <c r="AC17" i="7" s="1"/>
  <c r="Z17" i="7"/>
  <c r="Q17" i="7"/>
  <c r="S17" i="7" s="1"/>
  <c r="P17" i="7"/>
  <c r="M17" i="7"/>
  <c r="N17" i="7" s="1"/>
  <c r="L17" i="7"/>
  <c r="K17" i="7"/>
  <c r="G17" i="7"/>
  <c r="AA16" i="7"/>
  <c r="AC16" i="7" s="1"/>
  <c r="Z16" i="7"/>
  <c r="Q16" i="7"/>
  <c r="R16" i="7" s="1"/>
  <c r="P16" i="7"/>
  <c r="M16" i="7"/>
  <c r="N16" i="7" s="1"/>
  <c r="L16" i="7"/>
  <c r="K16" i="7"/>
  <c r="G16" i="7"/>
  <c r="AA15" i="7"/>
  <c r="AC15" i="7" s="1"/>
  <c r="Z15" i="7"/>
  <c r="Q15" i="7"/>
  <c r="S15" i="7" s="1"/>
  <c r="P15" i="7"/>
  <c r="M15" i="7"/>
  <c r="N15" i="7" s="1"/>
  <c r="L15" i="7"/>
  <c r="K15" i="7"/>
  <c r="G15" i="7"/>
  <c r="AA14" i="7"/>
  <c r="AC14" i="7" s="1"/>
  <c r="Z14" i="7"/>
  <c r="Q14" i="7"/>
  <c r="S14" i="7" s="1"/>
  <c r="P14" i="7"/>
  <c r="M14" i="7"/>
  <c r="N14" i="7" s="1"/>
  <c r="L14" i="7"/>
  <c r="K14" i="7"/>
  <c r="G14" i="7"/>
  <c r="AA13" i="7"/>
  <c r="AC13" i="7" s="1"/>
  <c r="Z13" i="7"/>
  <c r="Q13" i="7"/>
  <c r="R13" i="7" s="1"/>
  <c r="P13" i="7"/>
  <c r="M13" i="7"/>
  <c r="N13" i="7" s="1"/>
  <c r="L13" i="7"/>
  <c r="K13" i="7"/>
  <c r="G13" i="7"/>
  <c r="AA12" i="7"/>
  <c r="AC12" i="7" s="1"/>
  <c r="Z12" i="7"/>
  <c r="Q12" i="7"/>
  <c r="R12" i="7" s="1"/>
  <c r="P12" i="7"/>
  <c r="M12" i="7"/>
  <c r="N12" i="7" s="1"/>
  <c r="L12" i="7"/>
  <c r="K12" i="7"/>
  <c r="G12" i="7"/>
  <c r="AA11" i="7"/>
  <c r="AC11" i="7" s="1"/>
  <c r="Z11" i="7"/>
  <c r="Q11" i="7"/>
  <c r="R11" i="7" s="1"/>
  <c r="P11" i="7"/>
  <c r="M11" i="7"/>
  <c r="N11" i="7" s="1"/>
  <c r="L11" i="7"/>
  <c r="K11" i="7"/>
  <c r="G11" i="7"/>
  <c r="AA10" i="7"/>
  <c r="AC10" i="7" s="1"/>
  <c r="Z10" i="7"/>
  <c r="Q10" i="7"/>
  <c r="R10" i="7" s="1"/>
  <c r="P10" i="7"/>
  <c r="M10" i="7"/>
  <c r="N10" i="7" s="1"/>
  <c r="L10" i="7"/>
  <c r="K10" i="7"/>
  <c r="G10" i="7"/>
  <c r="AA9" i="7"/>
  <c r="AC9" i="7" s="1"/>
  <c r="Z9" i="7"/>
  <c r="Q9" i="7"/>
  <c r="S9" i="7" s="1"/>
  <c r="P9" i="7"/>
  <c r="M9" i="7"/>
  <c r="N9" i="7" s="1"/>
  <c r="L9" i="7"/>
  <c r="K9" i="7"/>
  <c r="G9" i="7"/>
  <c r="AA8" i="7"/>
  <c r="AC8" i="7" s="1"/>
  <c r="Z8" i="7"/>
  <c r="Q8" i="7"/>
  <c r="S8" i="7" s="1"/>
  <c r="P8" i="7"/>
  <c r="M8" i="7"/>
  <c r="N8" i="7" s="1"/>
  <c r="L8" i="7"/>
  <c r="K8" i="7"/>
  <c r="G8" i="7"/>
  <c r="AA7" i="7"/>
  <c r="AC7" i="7" s="1"/>
  <c r="Z7" i="7"/>
  <c r="Q7" i="7"/>
  <c r="R7" i="7" s="1"/>
  <c r="P7" i="7"/>
  <c r="M7" i="7"/>
  <c r="N7" i="7" s="1"/>
  <c r="L7" i="7"/>
  <c r="K7" i="7"/>
  <c r="G7" i="7"/>
  <c r="U22" i="8" l="1"/>
  <c r="T22" i="8"/>
  <c r="W12" i="8"/>
  <c r="X12" i="8" s="1"/>
  <c r="V12" i="8"/>
  <c r="AE17" i="8"/>
  <c r="AF17" i="8" s="1"/>
  <c r="AD17" i="8"/>
  <c r="W27" i="8"/>
  <c r="X27" i="8" s="1"/>
  <c r="V27" i="8"/>
  <c r="U20" i="8"/>
  <c r="T20" i="8"/>
  <c r="AE23" i="8"/>
  <c r="AF23" i="8" s="1"/>
  <c r="AD23" i="8"/>
  <c r="AE25" i="8"/>
  <c r="AF25" i="8" s="1"/>
  <c r="AD25" i="8"/>
  <c r="AE28" i="8"/>
  <c r="AF28" i="8" s="1"/>
  <c r="AD28" i="8"/>
  <c r="U26" i="8"/>
  <c r="T26" i="8"/>
  <c r="AE15" i="8"/>
  <c r="AF15" i="8" s="1"/>
  <c r="AD15" i="8"/>
  <c r="U30" i="8"/>
  <c r="T30" i="8"/>
  <c r="T14" i="8"/>
  <c r="U14" i="8"/>
  <c r="U16" i="8"/>
  <c r="T16" i="8"/>
  <c r="T18" i="8"/>
  <c r="U18" i="8"/>
  <c r="T19" i="8"/>
  <c r="U19" i="8"/>
  <c r="U24" i="8"/>
  <c r="T24" i="8"/>
  <c r="AE30" i="8"/>
  <c r="AF30" i="8" s="1"/>
  <c r="AD30" i="8"/>
  <c r="W29" i="8"/>
  <c r="X29" i="8" s="1"/>
  <c r="V29" i="8"/>
  <c r="AE19" i="8"/>
  <c r="AF19" i="8" s="1"/>
  <c r="AD19" i="8"/>
  <c r="AD40" i="8"/>
  <c r="AD47" i="8"/>
  <c r="AD20" i="8"/>
  <c r="V21" i="8"/>
  <c r="AD22" i="8"/>
  <c r="V23" i="8"/>
  <c r="AD24" i="8"/>
  <c r="U25" i="8"/>
  <c r="AC26" i="8"/>
  <c r="T27" i="8"/>
  <c r="AB28" i="8"/>
  <c r="T29" i="8"/>
  <c r="AE33" i="8"/>
  <c r="AF33" i="8" s="1"/>
  <c r="R14" i="8"/>
  <c r="R16" i="8"/>
  <c r="R18" i="8"/>
  <c r="AB30" i="8"/>
  <c r="AD35" i="8"/>
  <c r="AD42" i="8"/>
  <c r="AD49" i="8"/>
  <c r="AC9" i="8"/>
  <c r="U10" i="8"/>
  <c r="AC13" i="8"/>
  <c r="AB19" i="8"/>
  <c r="T12" i="8"/>
  <c r="AC7" i="8"/>
  <c r="U8" i="8"/>
  <c r="AC11" i="8"/>
  <c r="R26" i="8"/>
  <c r="AB23" i="8"/>
  <c r="AD32" i="8"/>
  <c r="AD39" i="8"/>
  <c r="AD46" i="8"/>
  <c r="R19" i="8"/>
  <c r="AD27" i="8"/>
  <c r="V28" i="8"/>
  <c r="AD29" i="8"/>
  <c r="AD36" i="8"/>
  <c r="AD43" i="8"/>
  <c r="AD50" i="8"/>
  <c r="AE17" i="7"/>
  <c r="AF17" i="7" s="1"/>
  <c r="AD17" i="7"/>
  <c r="U24" i="7"/>
  <c r="T24" i="7"/>
  <c r="AE12" i="7"/>
  <c r="AF12" i="7" s="1"/>
  <c r="AD12" i="7"/>
  <c r="AE19" i="7"/>
  <c r="AF19" i="7" s="1"/>
  <c r="AD19" i="7"/>
  <c r="AE27" i="7"/>
  <c r="AF27" i="7" s="1"/>
  <c r="AD27" i="7"/>
  <c r="AE24" i="7"/>
  <c r="AF24" i="7" s="1"/>
  <c r="AD24" i="7"/>
  <c r="AE10" i="7"/>
  <c r="AF10" i="7" s="1"/>
  <c r="AD10" i="7"/>
  <c r="U27" i="7"/>
  <c r="T27" i="7"/>
  <c r="U14" i="7"/>
  <c r="T14" i="7"/>
  <c r="AE7" i="7"/>
  <c r="AF7" i="7" s="1"/>
  <c r="AD7" i="7"/>
  <c r="U9" i="7"/>
  <c r="T9" i="7"/>
  <c r="AE14" i="7"/>
  <c r="AF14" i="7" s="1"/>
  <c r="AD14" i="7"/>
  <c r="AE21" i="7"/>
  <c r="AF21" i="7" s="1"/>
  <c r="AD21" i="7"/>
  <c r="AE16" i="7"/>
  <c r="AF16" i="7" s="1"/>
  <c r="AD16" i="7"/>
  <c r="AE18" i="7"/>
  <c r="AF18" i="7" s="1"/>
  <c r="AD18" i="7"/>
  <c r="AE23" i="7"/>
  <c r="AF23" i="7" s="1"/>
  <c r="AD23" i="7"/>
  <c r="AE29" i="7"/>
  <c r="AF29" i="7" s="1"/>
  <c r="AD29" i="7"/>
  <c r="AE9" i="7"/>
  <c r="AF9" i="7" s="1"/>
  <c r="AD9" i="7"/>
  <c r="U23" i="7"/>
  <c r="T23" i="7"/>
  <c r="W29" i="7"/>
  <c r="X29" i="7" s="1"/>
  <c r="V29" i="7"/>
  <c r="AE26" i="7"/>
  <c r="AF26" i="7" s="1"/>
  <c r="AD26" i="7"/>
  <c r="AE11" i="7"/>
  <c r="AF11" i="7" s="1"/>
  <c r="AD11" i="7"/>
  <c r="U20" i="7"/>
  <c r="T20" i="7"/>
  <c r="U8" i="7"/>
  <c r="T8" i="7"/>
  <c r="AE13" i="7"/>
  <c r="AF13" i="7" s="1"/>
  <c r="AD13" i="7"/>
  <c r="U15" i="7"/>
  <c r="T15" i="7"/>
  <c r="AE20" i="7"/>
  <c r="AF20" i="7" s="1"/>
  <c r="AD20" i="7"/>
  <c r="U25" i="7"/>
  <c r="T25" i="7"/>
  <c r="AE25" i="7"/>
  <c r="AF25" i="7" s="1"/>
  <c r="AD25" i="7"/>
  <c r="AE28" i="7"/>
  <c r="AF28" i="7" s="1"/>
  <c r="AD28" i="7"/>
  <c r="AE8" i="7"/>
  <c r="AF8" i="7" s="1"/>
  <c r="AD8" i="7"/>
  <c r="AE15" i="7"/>
  <c r="AF15" i="7" s="1"/>
  <c r="AD15" i="7"/>
  <c r="U17" i="7"/>
  <c r="T17" i="7"/>
  <c r="AE22" i="7"/>
  <c r="AF22" i="7" s="1"/>
  <c r="AD22" i="7"/>
  <c r="AD32" i="7"/>
  <c r="AD39" i="7"/>
  <c r="AD46" i="7"/>
  <c r="R20" i="7"/>
  <c r="S12" i="7"/>
  <c r="S18" i="7"/>
  <c r="S26" i="7"/>
  <c r="S28" i="7"/>
  <c r="AB7" i="7"/>
  <c r="AB9" i="7"/>
  <c r="AB11" i="7"/>
  <c r="AB13" i="7"/>
  <c r="AB15" i="7"/>
  <c r="AB17" i="7"/>
  <c r="AB19" i="7"/>
  <c r="AB21" i="7"/>
  <c r="AB23" i="7"/>
  <c r="AB25" i="7"/>
  <c r="AB27" i="7"/>
  <c r="AB29" i="7"/>
  <c r="AD34" i="7"/>
  <c r="AD41" i="7"/>
  <c r="AD48" i="7"/>
  <c r="R8" i="7"/>
  <c r="R14" i="7"/>
  <c r="R24" i="7"/>
  <c r="S10" i="7"/>
  <c r="S16" i="7"/>
  <c r="S22" i="7"/>
  <c r="AD31" i="7"/>
  <c r="AD38" i="7"/>
  <c r="AD45" i="7"/>
  <c r="R9" i="7"/>
  <c r="R23" i="7"/>
  <c r="R25" i="7"/>
  <c r="R27" i="7"/>
  <c r="R15" i="7"/>
  <c r="R17" i="7"/>
  <c r="S13" i="7"/>
  <c r="S19" i="7"/>
  <c r="S21" i="7"/>
  <c r="AD33" i="7"/>
  <c r="AD40" i="7"/>
  <c r="S7" i="7"/>
  <c r="AB8" i="7"/>
  <c r="AB10" i="7"/>
  <c r="AB12" i="7"/>
  <c r="AB14" i="7"/>
  <c r="AB16" i="7"/>
  <c r="AB18" i="7"/>
  <c r="AB20" i="7"/>
  <c r="AD35" i="7"/>
  <c r="AD42" i="7"/>
  <c r="AD49" i="7"/>
  <c r="S11" i="7"/>
  <c r="W18" i="8" l="1"/>
  <c r="X18" i="8" s="1"/>
  <c r="V18" i="8"/>
  <c r="W14" i="8"/>
  <c r="X14" i="8" s="1"/>
  <c r="V14" i="8"/>
  <c r="W8" i="8"/>
  <c r="X8" i="8" s="1"/>
  <c r="V8" i="8"/>
  <c r="W20" i="8"/>
  <c r="X20" i="8" s="1"/>
  <c r="V20" i="8"/>
  <c r="W30" i="8"/>
  <c r="X30" i="8" s="1"/>
  <c r="V30" i="8"/>
  <c r="W16" i="8"/>
  <c r="X16" i="8" s="1"/>
  <c r="V16" i="8"/>
  <c r="AE13" i="8"/>
  <c r="AF13" i="8" s="1"/>
  <c r="AD13" i="8"/>
  <c r="AE26" i="8"/>
  <c r="AF26" i="8" s="1"/>
  <c r="AD26" i="8"/>
  <c r="AE11" i="8"/>
  <c r="AF11" i="8" s="1"/>
  <c r="AD11" i="8"/>
  <c r="AE9" i="8"/>
  <c r="AF9" i="8" s="1"/>
  <c r="AD9" i="8"/>
  <c r="W24" i="8"/>
  <c r="X24" i="8" s="1"/>
  <c r="V24" i="8"/>
  <c r="W26" i="8"/>
  <c r="X26" i="8" s="1"/>
  <c r="V26" i="8"/>
  <c r="AE7" i="8"/>
  <c r="AF7" i="8" s="1"/>
  <c r="AD7" i="8"/>
  <c r="W10" i="8"/>
  <c r="X10" i="8" s="1"/>
  <c r="V10" i="8"/>
  <c r="W25" i="8"/>
  <c r="X25" i="8" s="1"/>
  <c r="V25" i="8"/>
  <c r="V19" i="8"/>
  <c r="W19" i="8"/>
  <c r="X19" i="8" s="1"/>
  <c r="W22" i="8"/>
  <c r="X22" i="8" s="1"/>
  <c r="V22" i="8"/>
  <c r="W27" i="7"/>
  <c r="X27" i="7" s="1"/>
  <c r="V27" i="7"/>
  <c r="U7" i="7"/>
  <c r="T7" i="7"/>
  <c r="U11" i="7"/>
  <c r="T11" i="7"/>
  <c r="U16" i="7"/>
  <c r="T16" i="7"/>
  <c r="U21" i="7"/>
  <c r="T21" i="7"/>
  <c r="U19" i="7"/>
  <c r="T19" i="7"/>
  <c r="W17" i="7"/>
  <c r="X17" i="7" s="1"/>
  <c r="V17" i="7"/>
  <c r="W23" i="7"/>
  <c r="X23" i="7" s="1"/>
  <c r="V23" i="7"/>
  <c r="W9" i="7"/>
  <c r="X9" i="7" s="1"/>
  <c r="V9" i="7"/>
  <c r="U26" i="7"/>
  <c r="T26" i="7"/>
  <c r="W8" i="7"/>
  <c r="X8" i="7" s="1"/>
  <c r="V8" i="7"/>
  <c r="U18" i="7"/>
  <c r="T18" i="7"/>
  <c r="U22" i="7"/>
  <c r="T22" i="7"/>
  <c r="W25" i="7"/>
  <c r="X25" i="7" s="1"/>
  <c r="V25" i="7"/>
  <c r="U10" i="7"/>
  <c r="T10" i="7"/>
  <c r="U13" i="7"/>
  <c r="T13" i="7"/>
  <c r="W15" i="7"/>
  <c r="X15" i="7" s="1"/>
  <c r="V15" i="7"/>
  <c r="U28" i="7"/>
  <c r="T28" i="7"/>
  <c r="U12" i="7"/>
  <c r="T12" i="7"/>
  <c r="W20" i="7"/>
  <c r="X20" i="7" s="1"/>
  <c r="V20" i="7"/>
  <c r="W14" i="7"/>
  <c r="X14" i="7" s="1"/>
  <c r="V14" i="7"/>
  <c r="W24" i="7"/>
  <c r="X24" i="7" s="1"/>
  <c r="V24" i="7"/>
  <c r="W10" i="7" l="1"/>
  <c r="X10" i="7" s="1"/>
  <c r="V10" i="7"/>
  <c r="W13" i="7"/>
  <c r="X13" i="7" s="1"/>
  <c r="V13" i="7"/>
  <c r="W22" i="7"/>
  <c r="X22" i="7" s="1"/>
  <c r="V22" i="7"/>
  <c r="W19" i="7"/>
  <c r="X19" i="7" s="1"/>
  <c r="V19" i="7"/>
  <c r="W12" i="7"/>
  <c r="X12" i="7" s="1"/>
  <c r="V12" i="7"/>
  <c r="W21" i="7"/>
  <c r="X21" i="7" s="1"/>
  <c r="V21" i="7"/>
  <c r="W28" i="7"/>
  <c r="X28" i="7" s="1"/>
  <c r="V28" i="7"/>
  <c r="W16" i="7"/>
  <c r="X16" i="7" s="1"/>
  <c r="V16" i="7"/>
  <c r="W26" i="7"/>
  <c r="X26" i="7" s="1"/>
  <c r="V26" i="7"/>
  <c r="W11" i="7"/>
  <c r="X11" i="7" s="1"/>
  <c r="V11" i="7"/>
  <c r="W7" i="7"/>
  <c r="X7" i="7" s="1"/>
  <c r="V7" i="7"/>
  <c r="W18" i="7"/>
  <c r="X18" i="7" s="1"/>
  <c r="V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LUZ MERY RAMIREZ GUAPACHA</author>
  </authors>
  <commentList>
    <comment ref="AA11" authorId="0" shapeId="0" xr:uid="{867AFFA5-17B2-4C04-B85D-C5BC44AF1235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Barcelona 27-08-2026
Genova, Buenavista, Cordoba y Pijao 25-08-2026</t>
        </r>
      </text>
    </comment>
    <comment ref="AA13" authorId="0" shapeId="0" xr:uid="{66C70B1E-2B62-46E9-823A-38AD1F9F2498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Salento 26-08-2026 y Filandia 28-08-2026</t>
        </r>
      </text>
    </comment>
    <comment ref="M15" authorId="0" shapeId="0" xr:uid="{08DDB156-1571-4CF1-AE1F-53718AFAA7B2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 
12 y 13 de agosto</t>
        </r>
      </text>
    </comment>
    <comment ref="AA17" authorId="0" shapeId="0" xr:uid="{70698F9F-0D54-40BA-983D-AE45BD38C152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Pijao 23-09-2026
Genova 22-09-2026</t>
        </r>
      </text>
    </comment>
    <comment ref="M18" authorId="0" shapeId="0" xr:uid="{1AF6F05F-4E95-48F3-8EBC-BBAA8DF4A8C2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consumos 18 y 19 de agosto</t>
        </r>
      </text>
    </comment>
    <comment ref="AA22" authorId="0" shapeId="0" xr:uid="{A639D4C7-A8C0-4435-BDE2-DDA8427FFEAE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Calarca 28-09-2026
salento 30-09-2026</t>
        </r>
      </text>
    </comment>
    <comment ref="J26" authorId="0" shapeId="0" xr:uid="{C33DF331-8BC1-4FD6-84AA-F41001B7F53F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entre el 22 y el 24 de agosto</t>
        </r>
      </text>
    </comment>
    <comment ref="Y28" authorId="0" shapeId="0" xr:uid="{840845FD-3F57-4DF9-B755-4CB6E7C93039}">
      <text>
        <r>
          <rPr>
            <b/>
            <sz val="9"/>
            <color indexed="81"/>
            <rFont val="Tahoma"/>
            <family val="2"/>
          </rPr>
          <t>LUZ MERY RAMIREZ GUAPACHA:</t>
        </r>
        <r>
          <rPr>
            <sz val="9"/>
            <color indexed="81"/>
            <rFont val="Tahoma"/>
            <family val="2"/>
          </rPr>
          <t xml:space="preserve">
3 Y 4 de SEPTIEMBRE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LUZ MERY RAMIREZ GUAPACHA</author>
  </authors>
  <commentList>
    <comment ref="AA10" authorId="0" shapeId="0" xr:uid="{80DEA7F1-AD7C-4881-86FC-C2672A8B9C2A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Barcelona 24-09-2026Buenavista, Cordoba y Pijao 25-09-2026
Genova 26-09-2026 </t>
        </r>
      </text>
    </comment>
    <comment ref="AA13" authorId="0" shapeId="0" xr:uid="{28DFCD4D-2493-4DF1-BF95-51A5532A1D32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Salento y Filandia 26-09
-2026</t>
        </r>
      </text>
    </comment>
    <comment ref="M15" authorId="0" shapeId="0" xr:uid="{D767591A-F54D-4E9D-BBC5-F438DC10C896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 
11 y 14 de septiembre</t>
        </r>
      </text>
    </comment>
    <comment ref="M17" authorId="0" shapeId="0" xr:uid="{0BB93C65-DAB5-4BF5-873D-6A2E19F58D7F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Crítica 14 y 15 de septiembre</t>
        </r>
      </text>
    </comment>
    <comment ref="J24" authorId="0" shapeId="0" xr:uid="{75B20715-EC61-4F7C-B6C5-52E64DC273C4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entre el 19 y el 21 de septiembre</t>
        </r>
      </text>
    </comment>
    <comment ref="H25" authorId="0" shapeId="0" xr:uid="{A5251E71-7B39-4374-8354-270D4A3D145E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21 y 22 de julio 2026</t>
        </r>
      </text>
    </comment>
    <comment ref="J28" authorId="0" shapeId="0" xr:uid="{C749E89C-0BD5-47ED-B699-39138E633CC9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el 23 y 24 de septiembre</t>
        </r>
      </text>
    </comment>
    <comment ref="Y28" authorId="0" shapeId="0" xr:uid="{D2692C0C-CF8D-4EB3-A93A-BD84BD6C199F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reparte entre el 3 y 5 de octubre</t>
        </r>
      </text>
    </comment>
    <comment ref="Y29" authorId="0" shapeId="0" xr:uid="{4FA92718-9741-4C20-A309-8853D3832993}">
      <text>
        <r>
          <rPr>
            <b/>
            <sz val="9"/>
            <color indexed="81"/>
            <rFont val="Tahoma"/>
            <family val="2"/>
          </rPr>
          <t>LUZ MERY RAMIREZ GUAPACHA:</t>
        </r>
        <r>
          <rPr>
            <sz val="9"/>
            <color indexed="81"/>
            <rFont val="Tahoma"/>
            <family val="2"/>
          </rPr>
          <t xml:space="preserve">
5 y 6 de OCTUBRE
</t>
        </r>
      </text>
    </comment>
  </commentList>
</comments>
</file>

<file path=xl/sharedStrings.xml><?xml version="1.0" encoding="utf-8"?>
<sst xmlns="http://schemas.openxmlformats.org/spreadsheetml/2006/main" count="1522" uniqueCount="94">
  <si>
    <t>GERENCIA OPERACIÓN COMERCIAL</t>
  </si>
  <si>
    <t>FECHA DE APROBACIÓN
02/12/2015
VERSIÓN: 01</t>
  </si>
  <si>
    <t>PROGRAMACIÓN DE LA FACTURACIÓN DE FEBRERO 2026</t>
  </si>
  <si>
    <t xml:space="preserve">CICLO </t>
  </si>
  <si>
    <t>Zona</t>
  </si>
  <si>
    <t>Analista a Cargo</t>
  </si>
  <si>
    <t>Municipio</t>
  </si>
  <si>
    <t>Período facturación</t>
  </si>
  <si>
    <t>Generación del Libro</t>
  </si>
  <si>
    <t>Lectura de medidores</t>
  </si>
  <si>
    <t>Análisis de consumos</t>
  </si>
  <si>
    <t>Verificados</t>
  </si>
  <si>
    <t>Ingreso de verificados</t>
  </si>
  <si>
    <t>Liquidación</t>
  </si>
  <si>
    <t>Calidad
facturación</t>
  </si>
  <si>
    <t>Entrega al Impresor</t>
  </si>
  <si>
    <t>Entrega
al Cliente</t>
  </si>
  <si>
    <t>Pago sin recargo</t>
  </si>
  <si>
    <t>Pago con recargo</t>
  </si>
  <si>
    <t>Suspensión del servicio</t>
  </si>
  <si>
    <t>Anterior</t>
  </si>
  <si>
    <t>Actual</t>
  </si>
  <si>
    <t xml:space="preserve"> Días consumo</t>
  </si>
  <si>
    <t>Día</t>
  </si>
  <si>
    <t>Mes</t>
  </si>
  <si>
    <t xml:space="preserve">Día </t>
  </si>
  <si>
    <t>Steveen Jimenez</t>
  </si>
  <si>
    <t>Calarcá</t>
  </si>
  <si>
    <t>Mensual</t>
  </si>
  <si>
    <t>Sandra L. Romero</t>
  </si>
  <si>
    <t>Genova</t>
  </si>
  <si>
    <t>Bimestral</t>
  </si>
  <si>
    <t>Shirley  Londoño</t>
  </si>
  <si>
    <t>La Tebaida</t>
  </si>
  <si>
    <t>Trimestral</t>
  </si>
  <si>
    <t>Buenavista-Pijao-Cordoba-Barcelona-Genova Urbano</t>
  </si>
  <si>
    <t>Circasia</t>
  </si>
  <si>
    <t>Salento-Filandia Urbano</t>
  </si>
  <si>
    <t>Salento AMI</t>
  </si>
  <si>
    <t>Armenia</t>
  </si>
  <si>
    <t>Pijao y 10 correrías de Genova</t>
  </si>
  <si>
    <t>Montenegro</t>
  </si>
  <si>
    <t xml:space="preserve">Armenia </t>
  </si>
  <si>
    <t>Quimbaya</t>
  </si>
  <si>
    <t>Vip</t>
  </si>
  <si>
    <t>Salento y Calarca</t>
  </si>
  <si>
    <t>11</t>
  </si>
  <si>
    <t>Luz Mery Ramirez</t>
  </si>
  <si>
    <t>Alumbrado Publico Hijos</t>
  </si>
  <si>
    <t>12</t>
  </si>
  <si>
    <t>13</t>
  </si>
  <si>
    <t>Esteban Cardona</t>
  </si>
  <si>
    <t>SDL</t>
  </si>
  <si>
    <t>Jose Alejandro Agudelo</t>
  </si>
  <si>
    <t>STR</t>
  </si>
  <si>
    <t>Cableoperadores</t>
  </si>
  <si>
    <t>David Martínez</t>
  </si>
  <si>
    <t>Carolina Moreno</t>
  </si>
  <si>
    <t>COT</t>
  </si>
  <si>
    <t>ADD y CPROG</t>
  </si>
  <si>
    <t>Aura María Cerón</t>
  </si>
  <si>
    <t>AGPE</t>
  </si>
  <si>
    <t>PPA</t>
  </si>
  <si>
    <t>Somos</t>
  </si>
  <si>
    <t>Alumbrado Publico otros conceptos</t>
  </si>
  <si>
    <t>Reactiva</t>
  </si>
  <si>
    <t>Alumbra Publico Padres</t>
  </si>
  <si>
    <t>OBSERVACIONES: Los señalados en verde corresponden a ciclos especiales
El ciclo 49 se lee los días 19 y 20 de febrero 2026</t>
  </si>
  <si>
    <t>Shirley Londoño</t>
  </si>
  <si>
    <t>Sandra Liliana Romero</t>
  </si>
  <si>
    <t>Brahiam Steveen Jimenez</t>
  </si>
  <si>
    <t>Buenavista y Córdoba</t>
  </si>
  <si>
    <t>Filandia</t>
  </si>
  <si>
    <t>Victoria Eugenia Uribe</t>
  </si>
  <si>
    <t>OBSERVACIONES: Los señalados en verde corresponden a ciclos especiales
Los ciclos 49  y 53 se leen en dos días (49: 20 y 21 de marzo  y 53: 24 y 25 de marzo)</t>
  </si>
  <si>
    <t>PROGRAMACIÓN DE LA FACTURACIÓN DE ABRIL 2026</t>
  </si>
  <si>
    <t>Victoria Eugenia Espinel</t>
  </si>
  <si>
    <t>Jennifer Tatiana</t>
  </si>
  <si>
    <t>Sandra Liliana</t>
  </si>
  <si>
    <t>OBSERVACIONES: Los señalados en verde corresponden a ciclos especiales
El ciclo 51 se lee los días 23 y 24 de abril 2026</t>
  </si>
  <si>
    <t>PROGRAMACIÓN DE LA FACTURACIÓN DE MAYO 2026</t>
  </si>
  <si>
    <t>Shirley Londoño Escobar</t>
  </si>
  <si>
    <t>Jeniffer Tatiana Sanchez</t>
  </si>
  <si>
    <t>OBSERVACIONES: Los señalados en verde corresponden a ciclos especiales
El ciclo 49 se lee los días 21 y 22 de mayo 2026
El ciclo 53 se lee los días 23 y 25 de mayo 2026
El ciclo 64 se lee los días 19 y 20 de mayo 2026</t>
  </si>
  <si>
    <t>PROGRAMACIÓN DE LA FACTURACIÓN DE JUNIO 2026</t>
  </si>
  <si>
    <t xml:space="preserve">OBSERVACIONES: Los señalados en verde corresponden a ciclos especiales
El ciclo 42 se lee los días 19 y 20 de junio 2026
El ciclo 51 se lee los días 22 y 23 de junio 2026
</t>
  </si>
  <si>
    <t>}</t>
  </si>
  <si>
    <t>PROGRAMACIÓN DE LA FACTURACIÓN DE JULIO 2026</t>
  </si>
  <si>
    <t xml:space="preserve">OBSERVACIONES: 
Los señalados en verde corresponden a ciclos especiales
A partir del mes de Julio 2026 el ciclo 58 (COT) no se vuelve a facturar
El ciclo 42 se lee un lunes festivo (20 de julio)
El ciclo 71 se lee los días 21 y 22 de julio
El ciclo 51 se lee los días 22 y 23 de julio
</t>
  </si>
  <si>
    <t>PROGRAMACIÓN DE LA FACTURACIÓN DE AGOSTO 2026</t>
  </si>
  <si>
    <t xml:space="preserve">OBSERVACIONES: 
Los señalados en verde corresponden a ciclos especiales
A partir del mes de Julio 2026 el ciclo 58 (COT) no se vuelve a facturar
El ciclo 49 se lee los días 22 y 24 de agosto
</t>
  </si>
  <si>
    <t>PROGRAMACIÓN DE LA FACTURACIÓN DE SEPTIEMBRE 2026</t>
  </si>
  <si>
    <t>Angela María Mendoza Garcia</t>
  </si>
  <si>
    <t>OBSERVACIONES: 
Los señalados en verde corresponden a ciclos especiales
A partir del mes de Julio 2026 el ciclo 58 (COT) no se vuelve a facturar
El ciclo 47 se lee entre el 19 y 21 de septiembre 2026
El ciclo 51 se lee entre el 23 y 24 de septiembre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</si>
</sst>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"/>
    <numFmt numFmtId="165" formatCode="mmm"/>
    <numFmt numFmtId="166" formatCode="_(* #,##0.00_);_(* \(#,##0.0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rgb="FF007934"/>
      <name val="Arial"/>
      <family val="2"/>
    </font>
    <font>
      <b/>
      <sz val="18"/>
      <name val="Arial"/>
      <family val="2"/>
    </font>
    <font>
      <sz val="9"/>
      <name val="Calibri"/>
      <family val="2"/>
      <scheme val="minor"/>
    </font>
    <font>
      <b/>
      <sz val="16"/>
      <color rgb="FF007934"/>
      <name val="Arial"/>
      <family val="2"/>
    </font>
    <font>
      <b/>
      <sz val="17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0"/>
      <color theme="1" tint="0.249977111117893"/>
      <name val="Arial"/>
      <family val="2"/>
    </font>
    <font>
      <b/>
      <sz val="9"/>
      <color theme="1" tint="0.249977111117893"/>
      <name val="Arial"/>
      <family val="2"/>
    </font>
    <font>
      <b/>
      <sz val="12"/>
      <color theme="1" tint="0.249977111117893"/>
      <name val="Arial"/>
      <family val="2"/>
    </font>
    <font>
      <sz val="12"/>
      <color theme="1" tint="0.249977111117893"/>
      <name val="Arial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Arial"/>
      <family val="2"/>
    </font>
    <font>
      <sz val="10"/>
      <color rgb="FF00B050"/>
      <name val="Arial"/>
      <family val="2"/>
    </font>
    <font>
      <b/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2"/>
      <color rgb="FF00B05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B05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AE4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theme="1" tint="0.249977111117893"/>
      </bottom>
      <diagonal/>
    </border>
    <border>
      <left/>
      <right/>
      <top/>
      <bottom style="double">
        <color theme="1" tint="0.249977111117893"/>
      </bottom>
      <diagonal/>
    </border>
    <border>
      <left/>
      <right style="medium">
        <color indexed="64"/>
      </right>
      <top/>
      <bottom style="double">
        <color theme="1" tint="0.249977111117893"/>
      </bottom>
      <diagonal/>
    </border>
    <border>
      <left style="medium">
        <color indexed="64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double">
        <color theme="1" tint="0.249977111117893"/>
      </top>
      <bottom style="thin">
        <color theme="1" tint="0.249977111117893"/>
      </bottom>
      <diagonal/>
    </border>
    <border>
      <left/>
      <right/>
      <top style="double">
        <color theme="1" tint="0.249977111117893"/>
      </top>
      <bottom style="thin">
        <color theme="1" tint="0.249977111117893"/>
      </bottom>
      <diagonal/>
    </border>
    <border>
      <left/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/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/>
      <diagonal/>
    </border>
    <border>
      <left style="medium">
        <color theme="1" tint="0.249977111117893"/>
      </left>
      <right/>
      <top style="thin">
        <color theme="1" tint="0.249977111117893"/>
      </top>
      <bottom/>
      <diagonal/>
    </border>
    <border>
      <left style="double">
        <color theme="1" tint="0.249977111117893"/>
      </left>
      <right/>
      <top style="thin">
        <color theme="1" tint="0.249977111117893"/>
      </top>
      <bottom/>
      <diagonal/>
    </border>
    <border>
      <left style="hair">
        <color theme="1" tint="0.249977111117893"/>
      </left>
      <right style="thin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/>
      <top style="thin">
        <color theme="1" tint="0.249977111117893"/>
      </top>
      <bottom/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/>
      <diagonal/>
    </border>
    <border>
      <left style="double">
        <color theme="1" tint="0.249977111117893"/>
      </left>
      <right style="hair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thin">
        <color theme="1" tint="0.249977111117893"/>
      </top>
      <bottom/>
      <diagonal/>
    </border>
    <border>
      <left style="hair">
        <color theme="1" tint="0.249977111117893"/>
      </left>
      <right style="double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medium">
        <color indexed="64"/>
      </right>
      <top style="thin">
        <color theme="1" tint="0.249977111117893"/>
      </top>
      <bottom style="hair">
        <color theme="1" tint="0.249977111117893"/>
      </bottom>
      <diagonal/>
    </border>
    <border>
      <left style="medium">
        <color indexed="64"/>
      </left>
      <right style="double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double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thin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 style="medium">
        <color theme="1" tint="0.249977111117893"/>
      </left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/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 style="double">
        <color indexed="64"/>
      </left>
      <right style="medium">
        <color theme="1" tint="0.249977111117893"/>
      </right>
      <top style="medium">
        <color theme="1" tint="0.249977111117893"/>
      </top>
      <bottom style="double">
        <color indexed="64"/>
      </bottom>
      <diagonal/>
    </border>
    <border>
      <left style="medium">
        <color theme="1" tint="0.249977111117893"/>
      </left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/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 style="double">
        <color indexed="64"/>
      </left>
      <right style="medium">
        <color theme="1" tint="0.249977111117893"/>
      </right>
      <top style="double">
        <color indexed="64"/>
      </top>
      <bottom style="medium">
        <color theme="1" tint="0.249977111117893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0" fillId="0" borderId="0"/>
    <xf numFmtId="166" fontId="2" fillId="0" borderId="0" applyFont="0" applyFill="0" applyBorder="0" applyAlignment="0" applyProtection="0"/>
  </cellStyleXfs>
  <cellXfs count="239">
    <xf numFmtId="0" fontId="0" fillId="0" borderId="0" xfId="0"/>
    <xf numFmtId="0" fontId="2" fillId="0" borderId="0" xfId="0" applyFont="1" applyProtection="1"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3" fillId="0" borderId="2" xfId="0" applyFont="1" applyBorder="1" applyAlignment="1" applyProtection="1">
      <alignment vertical="center"/>
      <protection locked="0"/>
    </xf>
    <xf numFmtId="0" fontId="6" fillId="0" borderId="4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10" fillId="4" borderId="27" xfId="0" applyFont="1" applyFill="1" applyBorder="1" applyAlignment="1" applyProtection="1">
      <alignment horizontal="center" vertical="center"/>
      <protection locked="0"/>
    </xf>
    <xf numFmtId="0" fontId="10" fillId="4" borderId="28" xfId="0" applyFont="1" applyFill="1" applyBorder="1" applyAlignment="1">
      <alignment horizontal="center" vertical="center"/>
    </xf>
    <xf numFmtId="0" fontId="10" fillId="4" borderId="29" xfId="0" applyFont="1" applyFill="1" applyBorder="1" applyAlignment="1" applyProtection="1">
      <alignment horizontal="center" vertical="center"/>
      <protection locked="0"/>
    </xf>
    <xf numFmtId="0" fontId="10" fillId="4" borderId="31" xfId="0" applyFont="1" applyFill="1" applyBorder="1" applyAlignment="1" applyProtection="1">
      <alignment horizontal="center" vertical="center"/>
      <protection locked="0"/>
    </xf>
    <xf numFmtId="0" fontId="10" fillId="4" borderId="32" xfId="0" applyFont="1" applyFill="1" applyBorder="1" applyAlignment="1">
      <alignment horizontal="center" vertical="center"/>
    </xf>
    <xf numFmtId="0" fontId="10" fillId="4" borderId="33" xfId="0" applyFont="1" applyFill="1" applyBorder="1" applyAlignment="1">
      <alignment horizontal="center" vertical="center"/>
    </xf>
    <xf numFmtId="0" fontId="10" fillId="4" borderId="34" xfId="0" applyFont="1" applyFill="1" applyBorder="1" applyAlignment="1">
      <alignment horizontal="center" vertical="center"/>
    </xf>
    <xf numFmtId="0" fontId="12" fillId="0" borderId="35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center"/>
      <protection locked="0"/>
    </xf>
    <xf numFmtId="164" fontId="14" fillId="0" borderId="36" xfId="0" applyNumberFormat="1" applyFont="1" applyBorder="1" applyAlignment="1" applyProtection="1">
      <alignment horizontal="center"/>
      <protection locked="0"/>
    </xf>
    <xf numFmtId="0" fontId="14" fillId="0" borderId="36" xfId="0" applyFont="1" applyBorder="1" applyAlignment="1" applyProtection="1">
      <alignment horizontal="center"/>
      <protection locked="0"/>
    </xf>
    <xf numFmtId="14" fontId="14" fillId="0" borderId="35" xfId="0" applyNumberFormat="1" applyFont="1" applyBorder="1" applyAlignment="1" applyProtection="1">
      <alignment horizontal="center"/>
      <protection locked="0"/>
    </xf>
    <xf numFmtId="164" fontId="14" fillId="0" borderId="37" xfId="0" applyNumberFormat="1" applyFont="1" applyBorder="1" applyAlignment="1" applyProtection="1">
      <alignment horizontal="center"/>
      <protection locked="0"/>
    </xf>
    <xf numFmtId="165" fontId="14" fillId="0" borderId="38" xfId="0" applyNumberFormat="1" applyFont="1" applyBorder="1" applyAlignment="1">
      <alignment horizontal="center"/>
    </xf>
    <xf numFmtId="164" fontId="14" fillId="0" borderId="39" xfId="0" applyNumberFormat="1" applyFont="1" applyBorder="1" applyAlignment="1" applyProtection="1">
      <alignment horizontal="center"/>
      <protection locked="0"/>
    </xf>
    <xf numFmtId="0" fontId="14" fillId="0" borderId="40" xfId="0" applyFont="1" applyBorder="1" applyAlignment="1" applyProtection="1">
      <alignment horizontal="center"/>
      <protection locked="0"/>
    </xf>
    <xf numFmtId="165" fontId="14" fillId="0" borderId="40" xfId="0" applyNumberFormat="1" applyFont="1" applyBorder="1" applyAlignment="1">
      <alignment horizontal="center"/>
    </xf>
    <xf numFmtId="0" fontId="12" fillId="5" borderId="35" xfId="0" applyFont="1" applyFill="1" applyBorder="1" applyAlignment="1" applyProtection="1">
      <alignment horizontal="center"/>
      <protection locked="0"/>
    </xf>
    <xf numFmtId="0" fontId="15" fillId="0" borderId="36" xfId="0" applyFont="1" applyBorder="1" applyAlignment="1" applyProtection="1">
      <alignment horizontal="center"/>
      <protection locked="0"/>
    </xf>
    <xf numFmtId="165" fontId="14" fillId="0" borderId="41" xfId="0" applyNumberFormat="1" applyFont="1" applyBorder="1" applyAlignment="1">
      <alignment horizontal="center"/>
    </xf>
    <xf numFmtId="164" fontId="14" fillId="0" borderId="36" xfId="0" applyNumberFormat="1" applyFont="1" applyBorder="1" applyAlignment="1" applyProtection="1">
      <alignment horizontal="center" wrapText="1"/>
      <protection locked="0"/>
    </xf>
    <xf numFmtId="164" fontId="14" fillId="3" borderId="37" xfId="0" applyNumberFormat="1" applyFont="1" applyFill="1" applyBorder="1" applyAlignment="1" applyProtection="1">
      <alignment horizontal="center"/>
      <protection locked="0"/>
    </xf>
    <xf numFmtId="0" fontId="12" fillId="3" borderId="35" xfId="0" applyFont="1" applyFill="1" applyBorder="1" applyAlignment="1" applyProtection="1">
      <alignment horizontal="center"/>
      <protection locked="0"/>
    </xf>
    <xf numFmtId="49" fontId="13" fillId="3" borderId="35" xfId="0" applyNumberFormat="1" applyFont="1" applyFill="1" applyBorder="1" applyAlignment="1" applyProtection="1">
      <alignment horizontal="center"/>
      <protection locked="0"/>
    </xf>
    <xf numFmtId="0" fontId="13" fillId="3" borderId="35" xfId="0" applyFont="1" applyFill="1" applyBorder="1" applyAlignment="1" applyProtection="1">
      <alignment horizontal="center"/>
      <protection locked="0"/>
    </xf>
    <xf numFmtId="164" fontId="14" fillId="3" borderId="36" xfId="0" applyNumberFormat="1" applyFont="1" applyFill="1" applyBorder="1" applyAlignment="1" applyProtection="1">
      <alignment horizontal="center"/>
      <protection locked="0"/>
    </xf>
    <xf numFmtId="0" fontId="12" fillId="5" borderId="0" xfId="0" applyFont="1" applyFill="1" applyAlignment="1" applyProtection="1">
      <alignment horizontal="center"/>
      <protection locked="0"/>
    </xf>
    <xf numFmtId="0" fontId="15" fillId="0" borderId="0" xfId="0" applyFont="1" applyAlignment="1" applyProtection="1">
      <alignment horizontal="center"/>
      <protection locked="0"/>
    </xf>
    <xf numFmtId="164" fontId="14" fillId="0" borderId="0" xfId="0" applyNumberFormat="1" applyFont="1" applyAlignment="1" applyProtection="1">
      <alignment horizontal="center"/>
      <protection locked="0"/>
    </xf>
    <xf numFmtId="165" fontId="14" fillId="0" borderId="0" xfId="0" applyNumberFormat="1" applyFont="1" applyAlignment="1">
      <alignment horizontal="center"/>
    </xf>
    <xf numFmtId="0" fontId="14" fillId="0" borderId="0" xfId="0" applyFont="1" applyAlignment="1" applyProtection="1">
      <alignment horizontal="center"/>
      <protection locked="0"/>
    </xf>
    <xf numFmtId="0" fontId="10" fillId="0" borderId="29" xfId="0" applyFont="1" applyBorder="1" applyAlignment="1" applyProtection="1">
      <alignment horizontal="center" vertical="center"/>
      <protection locked="0"/>
    </xf>
    <xf numFmtId="0" fontId="10" fillId="0" borderId="33" xfId="0" applyFont="1" applyBorder="1" applyAlignment="1">
      <alignment horizontal="center" vertical="center"/>
    </xf>
    <xf numFmtId="0" fontId="16" fillId="0" borderId="0" xfId="0" applyFont="1"/>
    <xf numFmtId="0" fontId="17" fillId="0" borderId="2" xfId="0" applyFont="1" applyBorder="1" applyAlignment="1" applyProtection="1">
      <alignment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1" fillId="4" borderId="29" xfId="0" applyFont="1" applyFill="1" applyBorder="1" applyAlignment="1" applyProtection="1">
      <alignment horizontal="center" vertical="center"/>
      <protection locked="0"/>
    </xf>
    <xf numFmtId="0" fontId="21" fillId="4" borderId="28" xfId="0" applyFont="1" applyFill="1" applyBorder="1" applyAlignment="1">
      <alignment horizontal="center" vertical="center"/>
    </xf>
    <xf numFmtId="0" fontId="22" fillId="4" borderId="31" xfId="0" applyFont="1" applyFill="1" applyBorder="1" applyAlignment="1" applyProtection="1">
      <alignment horizontal="center" vertical="center"/>
      <protection locked="0"/>
    </xf>
    <xf numFmtId="0" fontId="22" fillId="4" borderId="32" xfId="0" applyFont="1" applyFill="1" applyBorder="1" applyAlignment="1">
      <alignment horizontal="center" vertical="center"/>
    </xf>
    <xf numFmtId="0" fontId="21" fillId="4" borderId="33" xfId="0" applyFont="1" applyFill="1" applyBorder="1" applyAlignment="1">
      <alignment horizontal="center" vertical="center"/>
    </xf>
    <xf numFmtId="0" fontId="23" fillId="0" borderId="0" xfId="0" applyFont="1" applyProtection="1">
      <protection locked="0"/>
    </xf>
    <xf numFmtId="0" fontId="24" fillId="0" borderId="35" xfId="0" applyFont="1" applyBorder="1" applyAlignment="1" applyProtection="1">
      <alignment horizontal="center"/>
      <protection locked="0"/>
    </xf>
    <xf numFmtId="164" fontId="23" fillId="0" borderId="36" xfId="0" applyNumberFormat="1" applyFont="1" applyBorder="1" applyAlignment="1" applyProtection="1">
      <alignment horizontal="center"/>
      <protection locked="0"/>
    </xf>
    <xf numFmtId="0" fontId="23" fillId="0" borderId="36" xfId="0" applyFont="1" applyBorder="1" applyAlignment="1" applyProtection="1">
      <alignment horizontal="center"/>
      <protection locked="0"/>
    </xf>
    <xf numFmtId="14" fontId="23" fillId="0" borderId="35" xfId="0" applyNumberFormat="1" applyFont="1" applyBorder="1" applyAlignment="1" applyProtection="1">
      <alignment horizontal="center"/>
      <protection locked="0"/>
    </xf>
    <xf numFmtId="164" fontId="23" fillId="0" borderId="37" xfId="0" applyNumberFormat="1" applyFont="1" applyBorder="1" applyAlignment="1" applyProtection="1">
      <alignment horizontal="center"/>
      <protection locked="0"/>
    </xf>
    <xf numFmtId="165" fontId="23" fillId="0" borderId="38" xfId="0" applyNumberFormat="1" applyFont="1" applyBorder="1" applyAlignment="1">
      <alignment horizontal="center"/>
    </xf>
    <xf numFmtId="164" fontId="23" fillId="0" borderId="39" xfId="0" applyNumberFormat="1" applyFont="1" applyBorder="1" applyAlignment="1" applyProtection="1">
      <alignment horizontal="center"/>
      <protection locked="0"/>
    </xf>
    <xf numFmtId="0" fontId="23" fillId="0" borderId="40" xfId="0" applyFont="1" applyBorder="1" applyAlignment="1" applyProtection="1">
      <alignment horizontal="center"/>
      <protection locked="0"/>
    </xf>
    <xf numFmtId="165" fontId="23" fillId="0" borderId="40" xfId="0" applyNumberFormat="1" applyFont="1" applyBorder="1" applyAlignment="1">
      <alignment horizontal="center"/>
    </xf>
    <xf numFmtId="0" fontId="24" fillId="5" borderId="35" xfId="0" applyFont="1" applyFill="1" applyBorder="1" applyAlignment="1" applyProtection="1">
      <alignment horizontal="center"/>
      <protection locked="0"/>
    </xf>
    <xf numFmtId="0" fontId="25" fillId="0" borderId="36" xfId="0" applyFont="1" applyBorder="1" applyAlignment="1" applyProtection="1">
      <alignment horizontal="center"/>
      <protection locked="0"/>
    </xf>
    <xf numFmtId="164" fontId="23" fillId="0" borderId="36" xfId="0" applyNumberFormat="1" applyFont="1" applyBorder="1" applyAlignment="1" applyProtection="1">
      <alignment horizontal="center" wrapText="1"/>
      <protection locked="0"/>
    </xf>
    <xf numFmtId="165" fontId="23" fillId="0" borderId="41" xfId="0" applyNumberFormat="1" applyFont="1" applyBorder="1" applyAlignment="1">
      <alignment horizontal="center"/>
    </xf>
    <xf numFmtId="0" fontId="13" fillId="5" borderId="35" xfId="0" applyFont="1" applyFill="1" applyBorder="1" applyAlignment="1" applyProtection="1">
      <alignment horizontal="center"/>
      <protection locked="0"/>
    </xf>
    <xf numFmtId="164" fontId="16" fillId="0" borderId="0" xfId="0" applyNumberFormat="1" applyFont="1" applyAlignment="1" applyProtection="1">
      <alignment horizontal="center"/>
      <protection locked="0"/>
    </xf>
    <xf numFmtId="165" fontId="16" fillId="0" borderId="0" xfId="0" applyNumberFormat="1" applyFont="1" applyAlignment="1">
      <alignment horizontal="center"/>
    </xf>
    <xf numFmtId="164" fontId="23" fillId="6" borderId="39" xfId="0" applyNumberFormat="1" applyFont="1" applyFill="1" applyBorder="1" applyAlignment="1" applyProtection="1">
      <alignment horizontal="center"/>
      <protection locked="0"/>
    </xf>
    <xf numFmtId="164" fontId="23" fillId="6" borderId="37" xfId="0" applyNumberFormat="1" applyFont="1" applyFill="1" applyBorder="1" applyAlignment="1" applyProtection="1">
      <alignment horizontal="center"/>
      <protection locked="0"/>
    </xf>
    <xf numFmtId="164" fontId="23" fillId="6" borderId="36" xfId="0" applyNumberFormat="1" applyFont="1" applyFill="1" applyBorder="1" applyAlignment="1" applyProtection="1">
      <alignment horizontal="center"/>
      <protection locked="0"/>
    </xf>
    <xf numFmtId="164" fontId="14" fillId="6" borderId="37" xfId="0" applyNumberFormat="1" applyFont="1" applyFill="1" applyBorder="1" applyAlignment="1" applyProtection="1">
      <alignment horizontal="center"/>
      <protection locked="0"/>
    </xf>
    <xf numFmtId="164" fontId="23" fillId="7" borderId="37" xfId="0" applyNumberFormat="1" applyFont="1" applyFill="1" applyBorder="1" applyAlignment="1" applyProtection="1">
      <alignment horizontal="center"/>
      <protection locked="0"/>
    </xf>
    <xf numFmtId="164" fontId="23" fillId="8" borderId="37" xfId="0" applyNumberFormat="1" applyFont="1" applyFill="1" applyBorder="1" applyAlignment="1" applyProtection="1">
      <alignment horizontal="center"/>
      <protection locked="0"/>
    </xf>
    <xf numFmtId="164" fontId="14" fillId="7" borderId="37" xfId="0" applyNumberFormat="1" applyFont="1" applyFill="1" applyBorder="1" applyAlignment="1" applyProtection="1">
      <alignment horizontal="center"/>
      <protection locked="0"/>
    </xf>
    <xf numFmtId="0" fontId="10" fillId="0" borderId="42" xfId="0" applyFont="1" applyBorder="1" applyAlignment="1">
      <alignment horizontal="left" vertical="top" wrapText="1" indent="1"/>
    </xf>
    <xf numFmtId="0" fontId="10" fillId="0" borderId="43" xfId="0" applyFont="1" applyBorder="1" applyAlignment="1">
      <alignment horizontal="left" vertical="top" wrapText="1" indent="1"/>
    </xf>
    <xf numFmtId="0" fontId="10" fillId="0" borderId="43" xfId="0" applyFont="1" applyBorder="1" applyAlignment="1">
      <alignment horizontal="left" vertical="top" indent="1"/>
    </xf>
    <xf numFmtId="0" fontId="10" fillId="0" borderId="44" xfId="0" applyFont="1" applyBorder="1" applyAlignment="1">
      <alignment horizontal="left" vertical="top" indent="1"/>
    </xf>
    <xf numFmtId="0" fontId="10" fillId="0" borderId="45" xfId="0" applyFont="1" applyBorder="1" applyAlignment="1">
      <alignment horizontal="left" vertical="top" indent="1"/>
    </xf>
    <xf numFmtId="0" fontId="10" fillId="0" borderId="46" xfId="0" applyFont="1" applyBorder="1" applyAlignment="1">
      <alignment horizontal="left" vertical="top" indent="1"/>
    </xf>
    <xf numFmtId="0" fontId="10" fillId="0" borderId="47" xfId="0" applyFont="1" applyBorder="1" applyAlignment="1">
      <alignment horizontal="left" vertical="top" indent="1"/>
    </xf>
    <xf numFmtId="0" fontId="10" fillId="0" borderId="48" xfId="0" applyFont="1" applyBorder="1" applyAlignment="1">
      <alignment horizontal="left" vertical="top" indent="1"/>
    </xf>
    <xf numFmtId="0" fontId="10" fillId="0" borderId="49" xfId="0" applyFont="1" applyBorder="1" applyAlignment="1">
      <alignment horizontal="left" vertical="top" indent="1"/>
    </xf>
    <xf numFmtId="0" fontId="20" fillId="2" borderId="12" xfId="0" applyFont="1" applyFill="1" applyBorder="1" applyAlignment="1" applyProtection="1">
      <alignment horizontal="center" vertical="center" wrapText="1"/>
      <protection locked="0"/>
    </xf>
    <xf numFmtId="0" fontId="20" fillId="2" borderId="13" xfId="0" applyFont="1" applyFill="1" applyBorder="1" applyAlignment="1" applyProtection="1">
      <alignment horizontal="center" vertical="center" wrapText="1"/>
      <protection locked="0"/>
    </xf>
    <xf numFmtId="0" fontId="20" fillId="2" borderId="23" xfId="0" applyFont="1" applyFill="1" applyBorder="1" applyAlignment="1" applyProtection="1">
      <alignment horizontal="center" vertical="center" wrapText="1"/>
      <protection locked="0"/>
    </xf>
    <xf numFmtId="0" fontId="20" fillId="2" borderId="22" xfId="0" applyFont="1" applyFill="1" applyBorder="1" applyAlignment="1" applyProtection="1">
      <alignment horizontal="center" vertical="center" wrapText="1"/>
      <protection locked="0"/>
    </xf>
    <xf numFmtId="0" fontId="8" fillId="2" borderId="14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23" xfId="0" applyFont="1" applyFill="1" applyBorder="1" applyAlignment="1" applyProtection="1">
      <alignment horizontal="center" vertical="center" wrapText="1"/>
      <protection locked="0"/>
    </xf>
    <xf numFmtId="0" fontId="8" fillId="2" borderId="22" xfId="0" applyFont="1" applyFill="1" applyBorder="1" applyAlignment="1" applyProtection="1">
      <alignment horizontal="center" vertical="center" wrapText="1"/>
      <protection locked="0"/>
    </xf>
    <xf numFmtId="0" fontId="8" fillId="2" borderId="16" xfId="0" applyFont="1" applyFill="1" applyBorder="1" applyAlignment="1" applyProtection="1">
      <alignment horizontal="center" vertical="center" wrapText="1"/>
      <protection locked="0"/>
    </xf>
    <xf numFmtId="0" fontId="8" fillId="2" borderId="24" xfId="0" applyFont="1" applyFill="1" applyBorder="1" applyAlignment="1" applyProtection="1">
      <alignment horizontal="center" vertical="center" wrapText="1"/>
      <protection locked="0"/>
    </xf>
    <xf numFmtId="0" fontId="10" fillId="4" borderId="19" xfId="0" applyFont="1" applyFill="1" applyBorder="1" applyAlignment="1" applyProtection="1">
      <alignment horizontal="center" vertical="center"/>
      <protection locked="0"/>
    </xf>
    <xf numFmtId="0" fontId="10" fillId="4" borderId="20" xfId="0" applyFont="1" applyFill="1" applyBorder="1" applyAlignment="1" applyProtection="1">
      <alignment horizontal="center" vertical="center"/>
      <protection locked="0"/>
    </xf>
    <xf numFmtId="0" fontId="21" fillId="4" borderId="20" xfId="0" applyFont="1" applyFill="1" applyBorder="1" applyAlignment="1" applyProtection="1">
      <alignment horizontal="center" vertical="center"/>
      <protection locked="0"/>
    </xf>
    <xf numFmtId="0" fontId="21" fillId="4" borderId="21" xfId="0" applyFont="1" applyFill="1" applyBorder="1" applyAlignment="1" applyProtection="1">
      <alignment horizontal="center" vertical="center"/>
      <protection locked="0"/>
    </xf>
    <xf numFmtId="0" fontId="11" fillId="4" borderId="22" xfId="0" applyFont="1" applyFill="1" applyBorder="1" applyAlignment="1" applyProtection="1">
      <alignment horizontal="center" vertical="center" wrapText="1"/>
      <protection locked="0"/>
    </xf>
    <xf numFmtId="0" fontId="11" fillId="4" borderId="30" xfId="0" applyFont="1" applyFill="1" applyBorder="1" applyAlignment="1" applyProtection="1">
      <alignment horizontal="center" vertical="center" wrapText="1"/>
      <protection locked="0"/>
    </xf>
    <xf numFmtId="0" fontId="8" fillId="2" borderId="12" xfId="0" applyFont="1" applyFill="1" applyBorder="1" applyAlignment="1" applyProtection="1">
      <alignment horizontal="center" vertical="center" wrapText="1"/>
      <protection locked="0"/>
    </xf>
    <xf numFmtId="0" fontId="8" fillId="2" borderId="13" xfId="0" applyFont="1" applyFill="1" applyBorder="1" applyAlignment="1" applyProtection="1">
      <alignment horizontal="center" vertical="center" wrapText="1"/>
      <protection locked="0"/>
    </xf>
    <xf numFmtId="0" fontId="19" fillId="3" borderId="12" xfId="0" applyFont="1" applyFill="1" applyBorder="1" applyAlignment="1" applyProtection="1">
      <alignment horizontal="center" vertical="center" wrapText="1"/>
      <protection locked="0"/>
    </xf>
    <xf numFmtId="0" fontId="19" fillId="3" borderId="13" xfId="0" applyFont="1" applyFill="1" applyBorder="1" applyAlignment="1" applyProtection="1">
      <alignment horizontal="center" vertical="center" wrapText="1"/>
      <protection locked="0"/>
    </xf>
    <xf numFmtId="0" fontId="19" fillId="3" borderId="23" xfId="0" applyFont="1" applyFill="1" applyBorder="1" applyAlignment="1" applyProtection="1">
      <alignment horizontal="center" vertical="center" wrapText="1"/>
      <protection locked="0"/>
    </xf>
    <xf numFmtId="0" fontId="19" fillId="3" borderId="22" xfId="0" applyFont="1" applyFill="1" applyBorder="1" applyAlignment="1" applyProtection="1">
      <alignment horizontal="center" vertical="center" wrapText="1"/>
      <protection locked="0"/>
    </xf>
    <xf numFmtId="0" fontId="8" fillId="3" borderId="12" xfId="0" applyFont="1" applyFill="1" applyBorder="1" applyAlignment="1" applyProtection="1">
      <alignment horizontal="center" vertical="center" wrapText="1"/>
      <protection locked="0"/>
    </xf>
    <xf numFmtId="0" fontId="8" fillId="3" borderId="13" xfId="0" applyFont="1" applyFill="1" applyBorder="1" applyAlignment="1" applyProtection="1">
      <alignment horizontal="center" vertical="center" wrapText="1"/>
      <protection locked="0"/>
    </xf>
    <xf numFmtId="0" fontId="8" fillId="3" borderId="23" xfId="0" applyFont="1" applyFill="1" applyBorder="1" applyAlignment="1" applyProtection="1">
      <alignment horizontal="center" vertical="center" wrapText="1"/>
      <protection locked="0"/>
    </xf>
    <xf numFmtId="0" fontId="8" fillId="3" borderId="22" xfId="0" applyFont="1" applyFill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43" fontId="7" fillId="0" borderId="5" xfId="1" applyFont="1" applyFill="1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 applyProtection="1">
      <alignment horizontal="center" vertical="center" wrapText="1"/>
      <protection locked="0"/>
    </xf>
    <xf numFmtId="0" fontId="8" fillId="2" borderId="17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horizontal="center" vertical="center" wrapText="1"/>
      <protection locked="0"/>
    </xf>
    <xf numFmtId="0" fontId="8" fillId="3" borderId="7" xfId="0" applyFont="1" applyFill="1" applyBorder="1" applyAlignment="1" applyProtection="1">
      <alignment horizontal="center" vertical="center" wrapText="1"/>
      <protection locked="0"/>
    </xf>
    <xf numFmtId="0" fontId="8" fillId="3" borderId="17" xfId="0" applyFont="1" applyFill="1" applyBorder="1" applyAlignment="1" applyProtection="1">
      <alignment horizontal="center" vertical="center" wrapText="1"/>
      <protection locked="0"/>
    </xf>
    <xf numFmtId="0" fontId="8" fillId="3" borderId="25" xfId="0" applyFont="1" applyFill="1" applyBorder="1" applyAlignment="1" applyProtection="1">
      <alignment horizontal="center" vertical="center" wrapText="1"/>
      <protection locked="0"/>
    </xf>
    <xf numFmtId="0" fontId="8" fillId="2" borderId="8" xfId="0" applyFont="1" applyFill="1" applyBorder="1" applyAlignment="1" applyProtection="1">
      <alignment horizontal="center" vertical="center" wrapText="1"/>
      <protection locked="0"/>
    </xf>
    <xf numFmtId="0" fontId="8" fillId="2" borderId="18" xfId="0" applyFont="1" applyFill="1" applyBorder="1" applyAlignment="1" applyProtection="1">
      <alignment horizontal="center" vertical="center" wrapText="1"/>
      <protection locked="0"/>
    </xf>
    <xf numFmtId="0" fontId="8" fillId="2" borderId="26" xfId="0" applyFont="1" applyFill="1" applyBorder="1" applyAlignment="1" applyProtection="1">
      <alignment horizontal="center" vertical="center" wrapText="1"/>
      <protection locked="0"/>
    </xf>
    <xf numFmtId="0" fontId="9" fillId="2" borderId="9" xfId="0" applyFont="1" applyFill="1" applyBorder="1" applyAlignment="1" applyProtection="1">
      <alignment horizontal="center" vertical="center"/>
      <protection locked="0"/>
    </xf>
    <xf numFmtId="0" fontId="9" fillId="2" borderId="10" xfId="0" applyFont="1" applyFill="1" applyBorder="1" applyAlignment="1" applyProtection="1">
      <alignment horizontal="center" vertical="center"/>
      <protection locked="0"/>
    </xf>
    <xf numFmtId="0" fontId="9" fillId="2" borderId="11" xfId="0" applyFont="1" applyFill="1" applyBorder="1" applyAlignment="1" applyProtection="1">
      <alignment horizontal="center" vertical="center"/>
      <protection locked="0"/>
    </xf>
    <xf numFmtId="0" fontId="10" fillId="4" borderId="21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23" xfId="0" applyFont="1" applyBorder="1" applyAlignment="1" applyProtection="1">
      <alignment horizontal="center" vertical="center" wrapText="1"/>
      <protection locked="0"/>
    </xf>
    <xf numFmtId="0" fontId="8" fillId="0" borderId="22" xfId="0" applyFont="1" applyBorder="1" applyAlignment="1" applyProtection="1">
      <alignment horizontal="center" vertical="center" wrapText="1"/>
      <protection locked="0"/>
    </xf>
    <xf numFmtId="0" fontId="30" fillId="0" borderId="0" xfId="2"/>
    <xf numFmtId="0" fontId="16" fillId="0" borderId="0" xfId="2" applyFont="1"/>
    <xf numFmtId="0" fontId="3" fillId="0" borderId="1" xfId="2" applyFont="1" applyBorder="1" applyAlignment="1" applyProtection="1">
      <alignment vertical="center"/>
      <protection locked="0"/>
    </xf>
    <xf numFmtId="0" fontId="3" fillId="0" borderId="2" xfId="2" applyFont="1" applyBorder="1" applyAlignment="1" applyProtection="1">
      <alignment vertical="center"/>
      <protection locked="0"/>
    </xf>
    <xf numFmtId="0" fontId="17" fillId="0" borderId="2" xfId="2" applyFont="1" applyBorder="1" applyAlignment="1" applyProtection="1">
      <alignment vertical="center"/>
      <protection locked="0"/>
    </xf>
    <xf numFmtId="0" fontId="4" fillId="0" borderId="2" xfId="2" applyFont="1" applyBorder="1" applyAlignment="1" applyProtection="1">
      <alignment horizontal="center" vertical="center"/>
      <protection locked="0"/>
    </xf>
    <xf numFmtId="0" fontId="5" fillId="0" borderId="2" xfId="2" applyFont="1" applyBorder="1" applyAlignment="1" applyProtection="1">
      <alignment horizontal="center" vertical="center" wrapText="1"/>
      <protection locked="0"/>
    </xf>
    <xf numFmtId="0" fontId="5" fillId="0" borderId="3" xfId="2" applyFont="1" applyBorder="1" applyAlignment="1" applyProtection="1">
      <alignment horizontal="center" vertical="center" wrapText="1"/>
      <protection locked="0"/>
    </xf>
    <xf numFmtId="0" fontId="2" fillId="0" borderId="0" xfId="2" applyFont="1" applyProtection="1">
      <protection locked="0"/>
    </xf>
    <xf numFmtId="0" fontId="6" fillId="0" borderId="4" xfId="2" applyFont="1" applyBorder="1" applyAlignment="1" applyProtection="1">
      <alignment vertical="center"/>
      <protection locked="0"/>
    </xf>
    <xf numFmtId="0" fontId="6" fillId="0" borderId="0" xfId="2" applyFont="1" applyAlignment="1" applyProtection="1">
      <alignment vertical="center"/>
      <protection locked="0"/>
    </xf>
    <xf numFmtId="0" fontId="18" fillId="0" borderId="0" xfId="2" applyFont="1" applyAlignment="1" applyProtection="1">
      <alignment vertical="center"/>
      <protection locked="0"/>
    </xf>
    <xf numFmtId="166" fontId="7" fillId="0" borderId="5" xfId="3" applyFont="1" applyFill="1" applyBorder="1" applyAlignment="1" applyProtection="1">
      <alignment horizontal="center" vertical="center"/>
      <protection locked="0"/>
    </xf>
    <xf numFmtId="0" fontId="5" fillId="0" borderId="5" xfId="2" applyFont="1" applyBorder="1" applyAlignment="1" applyProtection="1">
      <alignment horizontal="center" vertical="center" wrapText="1"/>
      <protection locked="0"/>
    </xf>
    <xf numFmtId="0" fontId="5" fillId="0" borderId="6" xfId="2" applyFont="1" applyBorder="1" applyAlignment="1" applyProtection="1">
      <alignment horizontal="center" vertical="center" wrapText="1"/>
      <protection locked="0"/>
    </xf>
    <xf numFmtId="0" fontId="8" fillId="2" borderId="7" xfId="2" applyFont="1" applyFill="1" applyBorder="1" applyAlignment="1" applyProtection="1">
      <alignment horizontal="center" vertical="center" wrapText="1"/>
      <protection locked="0"/>
    </xf>
    <xf numFmtId="0" fontId="8" fillId="3" borderId="7" xfId="2" applyFont="1" applyFill="1" applyBorder="1" applyAlignment="1" applyProtection="1">
      <alignment horizontal="center" vertical="center" wrapText="1"/>
      <protection locked="0"/>
    </xf>
    <xf numFmtId="0" fontId="8" fillId="2" borderId="8" xfId="2" applyFont="1" applyFill="1" applyBorder="1" applyAlignment="1" applyProtection="1">
      <alignment horizontal="center" vertical="center" wrapText="1"/>
      <protection locked="0"/>
    </xf>
    <xf numFmtId="0" fontId="9" fillId="2" borderId="9" xfId="2" applyFont="1" applyFill="1" applyBorder="1" applyAlignment="1" applyProtection="1">
      <alignment horizontal="center" vertical="center"/>
      <protection locked="0"/>
    </xf>
    <xf numFmtId="0" fontId="9" fillId="2" borderId="10" xfId="2" applyFont="1" applyFill="1" applyBorder="1" applyAlignment="1" applyProtection="1">
      <alignment horizontal="center" vertical="center"/>
      <protection locked="0"/>
    </xf>
    <xf numFmtId="0" fontId="9" fillId="2" borderId="11" xfId="2" applyFont="1" applyFill="1" applyBorder="1" applyAlignment="1" applyProtection="1">
      <alignment horizontal="center" vertical="center"/>
      <protection locked="0"/>
    </xf>
    <xf numFmtId="0" fontId="8" fillId="2" borderId="12" xfId="2" applyFont="1" applyFill="1" applyBorder="1" applyAlignment="1" applyProtection="1">
      <alignment horizontal="center" vertical="center" wrapText="1"/>
      <protection locked="0"/>
    </xf>
    <xf numFmtId="0" fontId="8" fillId="2" borderId="13" xfId="2" applyFont="1" applyFill="1" applyBorder="1" applyAlignment="1" applyProtection="1">
      <alignment horizontal="center" vertical="center" wrapText="1"/>
      <protection locked="0"/>
    </xf>
    <xf numFmtId="0" fontId="19" fillId="3" borderId="12" xfId="2" applyFont="1" applyFill="1" applyBorder="1" applyAlignment="1" applyProtection="1">
      <alignment horizontal="center" vertical="center" wrapText="1"/>
      <protection locked="0"/>
    </xf>
    <xf numFmtId="0" fontId="19" fillId="3" borderId="13" xfId="2" applyFont="1" applyFill="1" applyBorder="1" applyAlignment="1" applyProtection="1">
      <alignment horizontal="center" vertical="center" wrapText="1"/>
      <protection locked="0"/>
    </xf>
    <xf numFmtId="0" fontId="8" fillId="3" borderId="12" xfId="2" applyFont="1" applyFill="1" applyBorder="1" applyAlignment="1" applyProtection="1">
      <alignment horizontal="center" vertical="center" wrapText="1"/>
      <protection locked="0"/>
    </xf>
    <xf numFmtId="0" fontId="8" fillId="3" borderId="13" xfId="2" applyFont="1" applyFill="1" applyBorder="1" applyAlignment="1" applyProtection="1">
      <alignment horizontal="center" vertical="center" wrapText="1"/>
      <protection locked="0"/>
    </xf>
    <xf numFmtId="0" fontId="20" fillId="2" borderId="12" xfId="2" applyFont="1" applyFill="1" applyBorder="1" applyAlignment="1" applyProtection="1">
      <alignment horizontal="center" vertical="center" wrapText="1"/>
      <protection locked="0"/>
    </xf>
    <xf numFmtId="0" fontId="20" fillId="2" borderId="13" xfId="2" applyFont="1" applyFill="1" applyBorder="1" applyAlignment="1" applyProtection="1">
      <alignment horizontal="center" vertical="center" wrapText="1"/>
      <protection locked="0"/>
    </xf>
    <xf numFmtId="0" fontId="8" fillId="2" borderId="14" xfId="2" applyFont="1" applyFill="1" applyBorder="1" applyAlignment="1" applyProtection="1">
      <alignment horizontal="center" vertical="center" wrapText="1"/>
      <protection locked="0"/>
    </xf>
    <xf numFmtId="0" fontId="8" fillId="2" borderId="15" xfId="2" applyFont="1" applyFill="1" applyBorder="1" applyAlignment="1" applyProtection="1">
      <alignment horizontal="center" vertical="center" wrapText="1"/>
      <protection locked="0"/>
    </xf>
    <xf numFmtId="0" fontId="8" fillId="2" borderId="16" xfId="2" applyFont="1" applyFill="1" applyBorder="1" applyAlignment="1" applyProtection="1">
      <alignment horizontal="center" vertical="center" wrapText="1"/>
      <protection locked="0"/>
    </xf>
    <xf numFmtId="0" fontId="2" fillId="0" borderId="0" xfId="2" applyFont="1" applyAlignment="1" applyProtection="1">
      <alignment horizontal="center" vertical="center"/>
      <protection locked="0"/>
    </xf>
    <xf numFmtId="0" fontId="8" fillId="2" borderId="17" xfId="2" applyFont="1" applyFill="1" applyBorder="1" applyAlignment="1" applyProtection="1">
      <alignment horizontal="center" vertical="center" wrapText="1"/>
      <protection locked="0"/>
    </xf>
    <xf numFmtId="0" fontId="8" fillId="3" borderId="17" xfId="2" applyFont="1" applyFill="1" applyBorder="1" applyAlignment="1" applyProtection="1">
      <alignment horizontal="center" vertical="center" wrapText="1"/>
      <protection locked="0"/>
    </xf>
    <xf numFmtId="0" fontId="8" fillId="2" borderId="18" xfId="2" applyFont="1" applyFill="1" applyBorder="1" applyAlignment="1" applyProtection="1">
      <alignment horizontal="center" vertical="center" wrapText="1"/>
      <protection locked="0"/>
    </xf>
    <xf numFmtId="0" fontId="10" fillId="4" borderId="19" xfId="2" applyFont="1" applyFill="1" applyBorder="1" applyAlignment="1" applyProtection="1">
      <alignment horizontal="center" vertical="center"/>
      <protection locked="0"/>
    </xf>
    <xf numFmtId="0" fontId="10" fillId="4" borderId="20" xfId="2" applyFont="1" applyFill="1" applyBorder="1" applyAlignment="1" applyProtection="1">
      <alignment horizontal="center" vertical="center"/>
      <protection locked="0"/>
    </xf>
    <xf numFmtId="0" fontId="21" fillId="4" borderId="20" xfId="2" applyFont="1" applyFill="1" applyBorder="1" applyAlignment="1" applyProtection="1">
      <alignment horizontal="center" vertical="center"/>
      <protection locked="0"/>
    </xf>
    <xf numFmtId="0" fontId="21" fillId="4" borderId="21" xfId="2" applyFont="1" applyFill="1" applyBorder="1" applyAlignment="1" applyProtection="1">
      <alignment horizontal="center" vertical="center"/>
      <protection locked="0"/>
    </xf>
    <xf numFmtId="0" fontId="11" fillId="4" borderId="22" xfId="2" applyFont="1" applyFill="1" applyBorder="1" applyAlignment="1" applyProtection="1">
      <alignment horizontal="center" vertical="center" wrapText="1"/>
      <protection locked="0"/>
    </xf>
    <xf numFmtId="0" fontId="8" fillId="2" borderId="23" xfId="2" applyFont="1" applyFill="1" applyBorder="1" applyAlignment="1" applyProtection="1">
      <alignment horizontal="center" vertical="center" wrapText="1"/>
      <protection locked="0"/>
    </xf>
    <xf numFmtId="0" fontId="8" fillId="2" borderId="22" xfId="2" applyFont="1" applyFill="1" applyBorder="1" applyAlignment="1" applyProtection="1">
      <alignment horizontal="center" vertical="center" wrapText="1"/>
      <protection locked="0"/>
    </xf>
    <xf numFmtId="0" fontId="19" fillId="3" borderId="23" xfId="2" applyFont="1" applyFill="1" applyBorder="1" applyAlignment="1" applyProtection="1">
      <alignment horizontal="center" vertical="center" wrapText="1"/>
      <protection locked="0"/>
    </xf>
    <xf numFmtId="0" fontId="19" fillId="3" borderId="22" xfId="2" applyFont="1" applyFill="1" applyBorder="1" applyAlignment="1" applyProtection="1">
      <alignment horizontal="center" vertical="center" wrapText="1"/>
      <protection locked="0"/>
    </xf>
    <xf numFmtId="0" fontId="8" fillId="3" borderId="23" xfId="2" applyFont="1" applyFill="1" applyBorder="1" applyAlignment="1" applyProtection="1">
      <alignment horizontal="center" vertical="center" wrapText="1"/>
      <protection locked="0"/>
    </xf>
    <xf numFmtId="0" fontId="8" fillId="3" borderId="22" xfId="2" applyFont="1" applyFill="1" applyBorder="1" applyAlignment="1" applyProtection="1">
      <alignment horizontal="center" vertical="center" wrapText="1"/>
      <protection locked="0"/>
    </xf>
    <xf numFmtId="0" fontId="20" fillId="2" borderId="23" xfId="2" applyFont="1" applyFill="1" applyBorder="1" applyAlignment="1" applyProtection="1">
      <alignment horizontal="center" vertical="center" wrapText="1"/>
      <protection locked="0"/>
    </xf>
    <xf numFmtId="0" fontId="20" fillId="2" borderId="22" xfId="2" applyFont="1" applyFill="1" applyBorder="1" applyAlignment="1" applyProtection="1">
      <alignment horizontal="center" vertical="center" wrapText="1"/>
      <protection locked="0"/>
    </xf>
    <xf numFmtId="0" fontId="8" fillId="2" borderId="24" xfId="2" applyFont="1" applyFill="1" applyBorder="1" applyAlignment="1" applyProtection="1">
      <alignment horizontal="center" vertical="center" wrapText="1"/>
      <protection locked="0"/>
    </xf>
    <xf numFmtId="0" fontId="8" fillId="2" borderId="25" xfId="2" applyFont="1" applyFill="1" applyBorder="1" applyAlignment="1" applyProtection="1">
      <alignment horizontal="center" vertical="center" wrapText="1"/>
      <protection locked="0"/>
    </xf>
    <xf numFmtId="0" fontId="8" fillId="3" borderId="25" xfId="2" applyFont="1" applyFill="1" applyBorder="1" applyAlignment="1" applyProtection="1">
      <alignment horizontal="center" vertical="center" wrapText="1"/>
      <protection locked="0"/>
    </xf>
    <xf numFmtId="0" fontId="8" fillId="2" borderId="26" xfId="2" applyFont="1" applyFill="1" applyBorder="1" applyAlignment="1" applyProtection="1">
      <alignment horizontal="center" vertical="center" wrapText="1"/>
      <protection locked="0"/>
    </xf>
    <xf numFmtId="0" fontId="10" fillId="4" borderId="27" xfId="2" applyFont="1" applyFill="1" applyBorder="1" applyAlignment="1" applyProtection="1">
      <alignment horizontal="center" vertical="center"/>
      <protection locked="0"/>
    </xf>
    <xf numFmtId="0" fontId="10" fillId="4" borderId="28" xfId="2" applyFont="1" applyFill="1" applyBorder="1" applyAlignment="1">
      <alignment horizontal="center" vertical="center"/>
    </xf>
    <xf numFmtId="0" fontId="21" fillId="4" borderId="29" xfId="2" applyFont="1" applyFill="1" applyBorder="1" applyAlignment="1" applyProtection="1">
      <alignment horizontal="center" vertical="center"/>
      <protection locked="0"/>
    </xf>
    <xf numFmtId="0" fontId="21" fillId="4" borderId="28" xfId="2" applyFont="1" applyFill="1" applyBorder="1" applyAlignment="1">
      <alignment horizontal="center" vertical="center"/>
    </xf>
    <xf numFmtId="0" fontId="11" fillId="4" borderId="30" xfId="2" applyFont="1" applyFill="1" applyBorder="1" applyAlignment="1" applyProtection="1">
      <alignment horizontal="center" vertical="center" wrapText="1"/>
      <protection locked="0"/>
    </xf>
    <xf numFmtId="0" fontId="10" fillId="4" borderId="31" xfId="2" applyFont="1" applyFill="1" applyBorder="1" applyAlignment="1" applyProtection="1">
      <alignment horizontal="center" vertical="center"/>
      <protection locked="0"/>
    </xf>
    <xf numFmtId="0" fontId="10" fillId="4" borderId="32" xfId="2" applyFont="1" applyFill="1" applyBorder="1" applyAlignment="1">
      <alignment horizontal="center" vertical="center"/>
    </xf>
    <xf numFmtId="0" fontId="22" fillId="4" borderId="31" xfId="2" applyFont="1" applyFill="1" applyBorder="1" applyAlignment="1" applyProtection="1">
      <alignment horizontal="center" vertical="center"/>
      <protection locked="0"/>
    </xf>
    <xf numFmtId="0" fontId="22" fillId="4" borderId="32" xfId="2" applyFont="1" applyFill="1" applyBorder="1" applyAlignment="1">
      <alignment horizontal="center" vertical="center"/>
    </xf>
    <xf numFmtId="0" fontId="10" fillId="4" borderId="33" xfId="2" applyFont="1" applyFill="1" applyBorder="1" applyAlignment="1">
      <alignment horizontal="center" vertical="center"/>
    </xf>
    <xf numFmtId="0" fontId="10" fillId="4" borderId="29" xfId="2" applyFont="1" applyFill="1" applyBorder="1" applyAlignment="1" applyProtection="1">
      <alignment horizontal="center" vertical="center"/>
      <protection locked="0"/>
    </xf>
    <xf numFmtId="0" fontId="21" fillId="4" borderId="33" xfId="2" applyFont="1" applyFill="1" applyBorder="1" applyAlignment="1">
      <alignment horizontal="center" vertical="center"/>
    </xf>
    <xf numFmtId="0" fontId="10" fillId="4" borderId="34" xfId="2" applyFont="1" applyFill="1" applyBorder="1" applyAlignment="1">
      <alignment horizontal="center" vertical="center"/>
    </xf>
    <xf numFmtId="0" fontId="24" fillId="0" borderId="35" xfId="2" applyFont="1" applyBorder="1" applyAlignment="1" applyProtection="1">
      <alignment horizontal="center"/>
      <protection locked="0"/>
    </xf>
    <xf numFmtId="164" fontId="23" fillId="0" borderId="36" xfId="2" applyNumberFormat="1" applyFont="1" applyBorder="1" applyAlignment="1" applyProtection="1">
      <alignment horizontal="center"/>
      <protection locked="0"/>
    </xf>
    <xf numFmtId="0" fontId="23" fillId="0" borderId="36" xfId="2" applyFont="1" applyBorder="1" applyAlignment="1" applyProtection="1">
      <alignment horizontal="center"/>
      <protection locked="0"/>
    </xf>
    <xf numFmtId="14" fontId="23" fillId="0" borderId="35" xfId="2" applyNumberFormat="1" applyFont="1" applyBorder="1" applyAlignment="1" applyProtection="1">
      <alignment horizontal="center"/>
      <protection locked="0"/>
    </xf>
    <xf numFmtId="164" fontId="23" fillId="0" borderId="37" xfId="2" applyNumberFormat="1" applyFont="1" applyBorder="1" applyAlignment="1" applyProtection="1">
      <alignment horizontal="center"/>
      <protection locked="0"/>
    </xf>
    <xf numFmtId="165" fontId="23" fillId="0" borderId="38" xfId="2" applyNumberFormat="1" applyFont="1" applyBorder="1" applyAlignment="1">
      <alignment horizontal="center"/>
    </xf>
    <xf numFmtId="164" fontId="23" fillId="6" borderId="39" xfId="2" applyNumberFormat="1" applyFont="1" applyFill="1" applyBorder="1" applyAlignment="1" applyProtection="1">
      <alignment horizontal="center"/>
      <protection locked="0"/>
    </xf>
    <xf numFmtId="0" fontId="23" fillId="0" borderId="40" xfId="2" applyFont="1" applyBorder="1" applyAlignment="1" applyProtection="1">
      <alignment horizontal="center"/>
      <protection locked="0"/>
    </xf>
    <xf numFmtId="165" fontId="23" fillId="0" borderId="40" xfId="2" applyNumberFormat="1" applyFont="1" applyBorder="1" applyAlignment="1">
      <alignment horizontal="center"/>
    </xf>
    <xf numFmtId="164" fontId="23" fillId="6" borderId="37" xfId="2" applyNumberFormat="1" applyFont="1" applyFill="1" applyBorder="1" applyAlignment="1" applyProtection="1">
      <alignment horizontal="center"/>
      <protection locked="0"/>
    </xf>
    <xf numFmtId="0" fontId="23" fillId="0" borderId="0" xfId="2" applyFont="1" applyProtection="1">
      <protection locked="0"/>
    </xf>
    <xf numFmtId="0" fontId="25" fillId="0" borderId="36" xfId="2" applyFont="1" applyBorder="1" applyAlignment="1" applyProtection="1">
      <alignment horizontal="center"/>
      <protection locked="0"/>
    </xf>
    <xf numFmtId="164" fontId="23" fillId="0" borderId="39" xfId="2" applyNumberFormat="1" applyFont="1" applyBorder="1" applyAlignment="1" applyProtection="1">
      <alignment horizontal="center"/>
      <protection locked="0"/>
    </xf>
    <xf numFmtId="164" fontId="23" fillId="6" borderId="36" xfId="2" applyNumberFormat="1" applyFont="1" applyFill="1" applyBorder="1" applyAlignment="1" applyProtection="1">
      <alignment horizontal="center"/>
      <protection locked="0"/>
    </xf>
    <xf numFmtId="164" fontId="23" fillId="0" borderId="36" xfId="2" applyNumberFormat="1" applyFont="1" applyBorder="1" applyAlignment="1" applyProtection="1">
      <alignment horizontal="center" wrapText="1"/>
      <protection locked="0"/>
    </xf>
    <xf numFmtId="165" fontId="23" fillId="0" borderId="41" xfId="2" applyNumberFormat="1" applyFont="1" applyBorder="1" applyAlignment="1">
      <alignment horizontal="center"/>
    </xf>
    <xf numFmtId="0" fontId="13" fillId="0" borderId="35" xfId="2" applyFont="1" applyBorder="1" applyAlignment="1" applyProtection="1">
      <alignment horizontal="center"/>
      <protection locked="0"/>
    </xf>
    <xf numFmtId="164" fontId="14" fillId="0" borderId="36" xfId="2" applyNumberFormat="1" applyFont="1" applyBorder="1" applyAlignment="1" applyProtection="1">
      <alignment horizontal="center"/>
      <protection locked="0"/>
    </xf>
    <xf numFmtId="0" fontId="15" fillId="0" borderId="36" xfId="2" applyFont="1" applyBorder="1" applyAlignment="1" applyProtection="1">
      <alignment horizontal="center"/>
      <protection locked="0"/>
    </xf>
    <xf numFmtId="0" fontId="14" fillId="0" borderId="40" xfId="2" applyFont="1" applyBorder="1" applyAlignment="1" applyProtection="1">
      <alignment horizontal="center"/>
      <protection locked="0"/>
    </xf>
    <xf numFmtId="165" fontId="14" fillId="0" borderId="40" xfId="2" applyNumberFormat="1" applyFont="1" applyBorder="1" applyAlignment="1">
      <alignment horizontal="center"/>
    </xf>
    <xf numFmtId="165" fontId="14" fillId="0" borderId="38" xfId="2" applyNumberFormat="1" applyFont="1" applyBorder="1" applyAlignment="1">
      <alignment horizontal="center"/>
    </xf>
    <xf numFmtId="164" fontId="14" fillId="0" borderId="37" xfId="2" applyNumberFormat="1" applyFont="1" applyBorder="1" applyAlignment="1" applyProtection="1">
      <alignment horizontal="center"/>
      <protection locked="0"/>
    </xf>
    <xf numFmtId="0" fontId="12" fillId="3" borderId="35" xfId="2" applyFont="1" applyFill="1" applyBorder="1" applyAlignment="1" applyProtection="1">
      <alignment horizontal="center"/>
      <protection locked="0"/>
    </xf>
    <xf numFmtId="49" fontId="13" fillId="3" borderId="35" xfId="2" applyNumberFormat="1" applyFont="1" applyFill="1" applyBorder="1" applyAlignment="1" applyProtection="1">
      <alignment horizontal="center"/>
      <protection locked="0"/>
    </xf>
    <xf numFmtId="0" fontId="13" fillId="3" borderId="35" xfId="2" applyFont="1" applyFill="1" applyBorder="1" applyAlignment="1" applyProtection="1">
      <alignment horizontal="center"/>
      <protection locked="0"/>
    </xf>
    <xf numFmtId="164" fontId="14" fillId="3" borderId="36" xfId="2" applyNumberFormat="1" applyFont="1" applyFill="1" applyBorder="1" applyAlignment="1" applyProtection="1">
      <alignment horizontal="center"/>
      <protection locked="0"/>
    </xf>
    <xf numFmtId="0" fontId="12" fillId="5" borderId="0" xfId="2" applyFont="1" applyFill="1" applyAlignment="1" applyProtection="1">
      <alignment horizontal="center"/>
      <protection locked="0"/>
    </xf>
    <xf numFmtId="0" fontId="15" fillId="0" borderId="0" xfId="2" applyFont="1" applyAlignment="1" applyProtection="1">
      <alignment horizontal="center"/>
      <protection locked="0"/>
    </xf>
    <xf numFmtId="164" fontId="14" fillId="0" borderId="0" xfId="2" applyNumberFormat="1" applyFont="1" applyAlignment="1" applyProtection="1">
      <alignment horizontal="center"/>
      <protection locked="0"/>
    </xf>
    <xf numFmtId="165" fontId="14" fillId="0" borderId="0" xfId="2" applyNumberFormat="1" applyFont="1" applyAlignment="1">
      <alignment horizontal="center"/>
    </xf>
    <xf numFmtId="164" fontId="16" fillId="0" borderId="0" xfId="2" applyNumberFormat="1" applyFont="1" applyAlignment="1" applyProtection="1">
      <alignment horizontal="center"/>
      <protection locked="0"/>
    </xf>
    <xf numFmtId="165" fontId="16" fillId="0" borderId="0" xfId="2" applyNumberFormat="1" applyFont="1" applyAlignment="1">
      <alignment horizontal="center"/>
    </xf>
    <xf numFmtId="0" fontId="14" fillId="0" borderId="0" xfId="2" applyFont="1" applyAlignment="1" applyProtection="1">
      <alignment horizontal="center"/>
      <protection locked="0"/>
    </xf>
    <xf numFmtId="0" fontId="10" fillId="0" borderId="42" xfId="2" applyFont="1" applyBorder="1" applyAlignment="1">
      <alignment horizontal="left" vertical="top" wrapText="1" indent="1"/>
    </xf>
    <xf numFmtId="0" fontId="10" fillId="0" borderId="43" xfId="2" applyFont="1" applyBorder="1" applyAlignment="1">
      <alignment horizontal="left" vertical="top" wrapText="1" indent="1"/>
    </xf>
    <xf numFmtId="0" fontId="10" fillId="0" borderId="43" xfId="2" applyFont="1" applyBorder="1" applyAlignment="1">
      <alignment horizontal="left" vertical="top" indent="1"/>
    </xf>
    <xf numFmtId="0" fontId="10" fillId="0" borderId="44" xfId="2" applyFont="1" applyBorder="1" applyAlignment="1">
      <alignment horizontal="left" vertical="top" indent="1"/>
    </xf>
    <xf numFmtId="0" fontId="10" fillId="0" borderId="45" xfId="2" applyFont="1" applyBorder="1" applyAlignment="1">
      <alignment horizontal="left" vertical="top" indent="1"/>
    </xf>
    <xf numFmtId="0" fontId="10" fillId="0" borderId="46" xfId="2" applyFont="1" applyBorder="1" applyAlignment="1">
      <alignment horizontal="left" vertical="top" indent="1"/>
    </xf>
    <xf numFmtId="0" fontId="10" fillId="0" borderId="47" xfId="2" applyFont="1" applyBorder="1" applyAlignment="1">
      <alignment horizontal="left" vertical="top" indent="1"/>
    </xf>
    <xf numFmtId="0" fontId="10" fillId="0" borderId="48" xfId="2" applyFont="1" applyBorder="1" applyAlignment="1">
      <alignment horizontal="left" vertical="top" indent="1"/>
    </xf>
    <xf numFmtId="0" fontId="10" fillId="0" borderId="49" xfId="2" applyFont="1" applyBorder="1" applyAlignment="1">
      <alignment horizontal="left" vertical="top" indent="1"/>
    </xf>
  </cellXfs>
  <cellStyles count="4">
    <cellStyle name="Millares" xfId="1" builtinId="3"/>
    <cellStyle name="Millares 2" xfId="3" xr:uid="{90BA1F91-D9BB-411A-8277-94217EFC14C2}"/>
    <cellStyle name="Normal" xfId="0" builtinId="0"/>
    <cellStyle name="Normal 2" xfId="2" xr:uid="{167FA4FF-D58E-426C-B416-9206290E8EB3}"/>
  </cellStyles>
  <dxfs count="4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1</xdr:row>
      <xdr:rowOff>76200</xdr:rowOff>
    </xdr:from>
    <xdr:to>
      <xdr:col>3</xdr:col>
      <xdr:colOff>1114425</xdr:colOff>
      <xdr:row>2</xdr:row>
      <xdr:rowOff>333375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4056D5A-534A-4124-AC34-D34BFFE6C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304800"/>
          <a:ext cx="3086100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1</xdr:row>
      <xdr:rowOff>76200</xdr:rowOff>
    </xdr:from>
    <xdr:to>
      <xdr:col>3</xdr:col>
      <xdr:colOff>1104900</xdr:colOff>
      <xdr:row>2</xdr:row>
      <xdr:rowOff>333375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8E1FA2-447E-497B-84C8-5A58DC136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304800"/>
          <a:ext cx="307657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&#209;O%202026\OPERACION%20COMERCIAL\FACTURACION\CRONOGRAMA%202026\FESTIVOS%20A&#209;O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&#209;O%202026/OPERACION%20COMERCIAL/FACTURACION/CRONOGRAMA%202026/FESTIVOS%20A&#209;O%202026.xlsx" TargetMode="External"/><Relationship Id="rId1" Type="http://schemas.openxmlformats.org/officeDocument/2006/relationships/externalLinkPath" Target="/A&#209;O%202026/OPERACION%20COMERCIAL/FACTURACION/CRONOGRAMA%202026/FESTIVOS%20A&#209;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1">
          <cell r="A1">
            <v>46023</v>
          </cell>
        </row>
        <row r="2">
          <cell r="A2">
            <v>46026</v>
          </cell>
        </row>
        <row r="3">
          <cell r="A3">
            <v>46033</v>
          </cell>
        </row>
        <row r="4">
          <cell r="A4">
            <v>46034</v>
          </cell>
        </row>
        <row r="5">
          <cell r="A5">
            <v>46040</v>
          </cell>
        </row>
        <row r="6">
          <cell r="A6">
            <v>46047</v>
          </cell>
        </row>
        <row r="7">
          <cell r="A7">
            <v>46054</v>
          </cell>
        </row>
        <row r="8">
          <cell r="A8">
            <v>46061</v>
          </cell>
        </row>
        <row r="9">
          <cell r="A9">
            <v>46068</v>
          </cell>
        </row>
        <row r="10">
          <cell r="A10">
            <v>46075</v>
          </cell>
        </row>
        <row r="11">
          <cell r="A11">
            <v>46082</v>
          </cell>
        </row>
        <row r="12">
          <cell r="A12">
            <v>46089</v>
          </cell>
        </row>
        <row r="13">
          <cell r="A13">
            <v>46096</v>
          </cell>
        </row>
        <row r="14">
          <cell r="A14">
            <v>46103</v>
          </cell>
        </row>
        <row r="15">
          <cell r="A15">
            <v>46104</v>
          </cell>
        </row>
        <row r="16">
          <cell r="A16">
            <v>46110</v>
          </cell>
        </row>
        <row r="17">
          <cell r="A17">
            <v>46114</v>
          </cell>
        </row>
        <row r="18">
          <cell r="A18">
            <v>46115</v>
          </cell>
        </row>
        <row r="19">
          <cell r="A19">
            <v>46117</v>
          </cell>
        </row>
        <row r="20">
          <cell r="A20">
            <v>46124</v>
          </cell>
        </row>
        <row r="21">
          <cell r="A21">
            <v>46131</v>
          </cell>
        </row>
        <row r="22">
          <cell r="A22">
            <v>46138</v>
          </cell>
        </row>
        <row r="23">
          <cell r="A23">
            <v>46143</v>
          </cell>
        </row>
        <row r="24">
          <cell r="A24">
            <v>46145</v>
          </cell>
        </row>
        <row r="25">
          <cell r="A25">
            <v>46152</v>
          </cell>
        </row>
        <row r="26">
          <cell r="A26">
            <v>46159</v>
          </cell>
        </row>
        <row r="27">
          <cell r="A27">
            <v>46160</v>
          </cell>
        </row>
        <row r="28">
          <cell r="A28">
            <v>46166</v>
          </cell>
        </row>
        <row r="29">
          <cell r="A29">
            <v>46173</v>
          </cell>
        </row>
        <row r="30">
          <cell r="A30">
            <v>46180</v>
          </cell>
        </row>
        <row r="31">
          <cell r="A31">
            <v>46181</v>
          </cell>
        </row>
        <row r="32">
          <cell r="A32">
            <v>46187</v>
          </cell>
        </row>
        <row r="33">
          <cell r="A33">
            <v>46188</v>
          </cell>
        </row>
        <row r="34">
          <cell r="A34">
            <v>46194</v>
          </cell>
        </row>
        <row r="35">
          <cell r="A35">
            <v>46201</v>
          </cell>
        </row>
        <row r="36">
          <cell r="A36">
            <v>46202</v>
          </cell>
        </row>
        <row r="37">
          <cell r="A37">
            <v>46208</v>
          </cell>
        </row>
        <row r="38">
          <cell r="A38">
            <v>46215</v>
          </cell>
        </row>
        <row r="39">
          <cell r="A39">
            <v>46216</v>
          </cell>
        </row>
        <row r="40">
          <cell r="A40">
            <v>46222</v>
          </cell>
        </row>
        <row r="41">
          <cell r="A41">
            <v>46223</v>
          </cell>
        </row>
        <row r="42">
          <cell r="A42">
            <v>46229</v>
          </cell>
        </row>
        <row r="43">
          <cell r="A43">
            <v>46236</v>
          </cell>
        </row>
        <row r="44">
          <cell r="A44">
            <v>46241</v>
          </cell>
        </row>
        <row r="45">
          <cell r="A45">
            <v>46243</v>
          </cell>
        </row>
        <row r="46">
          <cell r="A46">
            <v>46250</v>
          </cell>
        </row>
        <row r="47">
          <cell r="A47">
            <v>46251</v>
          </cell>
        </row>
        <row r="48">
          <cell r="A48">
            <v>46257</v>
          </cell>
        </row>
        <row r="49">
          <cell r="A49">
            <v>46264</v>
          </cell>
        </row>
        <row r="50">
          <cell r="A50">
            <v>46271</v>
          </cell>
        </row>
        <row r="51">
          <cell r="A51">
            <v>46278</v>
          </cell>
        </row>
        <row r="52">
          <cell r="A52">
            <v>46285</v>
          </cell>
        </row>
        <row r="53">
          <cell r="A53">
            <v>46292</v>
          </cell>
        </row>
        <row r="54">
          <cell r="A54">
            <v>46299</v>
          </cell>
        </row>
        <row r="55">
          <cell r="A55">
            <v>46306</v>
          </cell>
        </row>
        <row r="56">
          <cell r="A56">
            <v>46307</v>
          </cell>
        </row>
        <row r="57">
          <cell r="A57">
            <v>46313</v>
          </cell>
        </row>
        <row r="58">
          <cell r="A58">
            <v>46320</v>
          </cell>
        </row>
        <row r="59">
          <cell r="A59">
            <v>46327</v>
          </cell>
        </row>
        <row r="60">
          <cell r="A60">
            <v>46328</v>
          </cell>
        </row>
        <row r="61">
          <cell r="A61">
            <v>46334</v>
          </cell>
        </row>
        <row r="62">
          <cell r="A62">
            <v>46341</v>
          </cell>
        </row>
        <row r="63">
          <cell r="A63">
            <v>46342</v>
          </cell>
        </row>
        <row r="64">
          <cell r="A64">
            <v>46348</v>
          </cell>
        </row>
        <row r="65">
          <cell r="A65">
            <v>46355</v>
          </cell>
        </row>
        <row r="66">
          <cell r="A66">
            <v>46362</v>
          </cell>
        </row>
        <row r="67">
          <cell r="A67">
            <v>46364</v>
          </cell>
        </row>
        <row r="68">
          <cell r="A68">
            <v>46369</v>
          </cell>
        </row>
        <row r="69">
          <cell r="A69">
            <v>46376</v>
          </cell>
        </row>
        <row r="70">
          <cell r="A70">
            <v>46381</v>
          </cell>
        </row>
        <row r="71">
          <cell r="A71">
            <v>46383</v>
          </cell>
        </row>
        <row r="72">
          <cell r="A72">
            <v>46388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ja1"/>
    </sheetNames>
    <sheetDataSet>
      <sheetData sheetId="0">
        <row r="1">
          <cell r="A1">
            <v>46023</v>
          </cell>
        </row>
        <row r="2">
          <cell r="A2">
            <v>46026</v>
          </cell>
        </row>
        <row r="3">
          <cell r="A3">
            <v>46033</v>
          </cell>
        </row>
        <row r="4">
          <cell r="A4">
            <v>46034</v>
          </cell>
        </row>
        <row r="5">
          <cell r="A5">
            <v>46040</v>
          </cell>
        </row>
        <row r="6">
          <cell r="A6">
            <v>46047</v>
          </cell>
        </row>
        <row r="7">
          <cell r="A7">
            <v>46054</v>
          </cell>
        </row>
        <row r="8">
          <cell r="A8">
            <v>46061</v>
          </cell>
        </row>
        <row r="9">
          <cell r="A9">
            <v>46068</v>
          </cell>
        </row>
        <row r="10">
          <cell r="A10">
            <v>46075</v>
          </cell>
        </row>
        <row r="11">
          <cell r="A11">
            <v>46082</v>
          </cell>
        </row>
        <row r="12">
          <cell r="A12">
            <v>46089</v>
          </cell>
        </row>
        <row r="13">
          <cell r="A13">
            <v>46096</v>
          </cell>
        </row>
        <row r="14">
          <cell r="A14">
            <v>46103</v>
          </cell>
        </row>
        <row r="15">
          <cell r="A15">
            <v>46104</v>
          </cell>
        </row>
        <row r="16">
          <cell r="A16">
            <v>46110</v>
          </cell>
        </row>
        <row r="17">
          <cell r="A17">
            <v>46114</v>
          </cell>
        </row>
        <row r="18">
          <cell r="A18">
            <v>46115</v>
          </cell>
        </row>
        <row r="19">
          <cell r="A19">
            <v>46117</v>
          </cell>
        </row>
        <row r="20">
          <cell r="A20">
            <v>46124</v>
          </cell>
        </row>
        <row r="21">
          <cell r="A21">
            <v>46131</v>
          </cell>
        </row>
        <row r="22">
          <cell r="A22">
            <v>46138</v>
          </cell>
        </row>
        <row r="23">
          <cell r="A23">
            <v>46143</v>
          </cell>
        </row>
        <row r="24">
          <cell r="A24">
            <v>46145</v>
          </cell>
        </row>
        <row r="25">
          <cell r="A25">
            <v>46152</v>
          </cell>
        </row>
        <row r="26">
          <cell r="A26">
            <v>46159</v>
          </cell>
        </row>
        <row r="27">
          <cell r="A27">
            <v>46160</v>
          </cell>
        </row>
        <row r="28">
          <cell r="A28">
            <v>46166</v>
          </cell>
        </row>
        <row r="29">
          <cell r="A29">
            <v>46173</v>
          </cell>
        </row>
        <row r="30">
          <cell r="A30">
            <v>46180</v>
          </cell>
        </row>
        <row r="31">
          <cell r="A31">
            <v>46181</v>
          </cell>
        </row>
        <row r="32">
          <cell r="A32">
            <v>46187</v>
          </cell>
        </row>
        <row r="33">
          <cell r="A33">
            <v>46188</v>
          </cell>
        </row>
        <row r="34">
          <cell r="A34">
            <v>46194</v>
          </cell>
        </row>
        <row r="35">
          <cell r="A35">
            <v>46201</v>
          </cell>
        </row>
        <row r="36">
          <cell r="A36">
            <v>46202</v>
          </cell>
        </row>
        <row r="37">
          <cell r="A37">
            <v>46208</v>
          </cell>
        </row>
        <row r="38">
          <cell r="A38">
            <v>46215</v>
          </cell>
        </row>
        <row r="39">
          <cell r="A39">
            <v>46216</v>
          </cell>
        </row>
        <row r="40">
          <cell r="A40">
            <v>46222</v>
          </cell>
        </row>
        <row r="41">
          <cell r="A41">
            <v>46223</v>
          </cell>
        </row>
        <row r="42">
          <cell r="A42">
            <v>46229</v>
          </cell>
        </row>
        <row r="43">
          <cell r="A43">
            <v>46236</v>
          </cell>
        </row>
        <row r="44">
          <cell r="A44">
            <v>46241</v>
          </cell>
        </row>
        <row r="45">
          <cell r="A45">
            <v>46243</v>
          </cell>
        </row>
        <row r="46">
          <cell r="A46">
            <v>46250</v>
          </cell>
        </row>
        <row r="47">
          <cell r="A47">
            <v>46251</v>
          </cell>
        </row>
        <row r="48">
          <cell r="A48">
            <v>46257</v>
          </cell>
        </row>
        <row r="49">
          <cell r="A49">
            <v>46264</v>
          </cell>
        </row>
        <row r="50">
          <cell r="A50">
            <v>46271</v>
          </cell>
        </row>
        <row r="51">
          <cell r="A51">
            <v>46278</v>
          </cell>
        </row>
        <row r="52">
          <cell r="A52">
            <v>46285</v>
          </cell>
        </row>
        <row r="53">
          <cell r="A53">
            <v>46292</v>
          </cell>
        </row>
        <row r="54">
          <cell r="A54">
            <v>46299</v>
          </cell>
        </row>
        <row r="55">
          <cell r="A55">
            <v>46306</v>
          </cell>
        </row>
        <row r="56">
          <cell r="A56">
            <v>46307</v>
          </cell>
        </row>
        <row r="57">
          <cell r="A57">
            <v>46313</v>
          </cell>
        </row>
        <row r="58">
          <cell r="A58">
            <v>46320</v>
          </cell>
        </row>
        <row r="59">
          <cell r="A59">
            <v>46327</v>
          </cell>
        </row>
        <row r="60">
          <cell r="A60">
            <v>46328</v>
          </cell>
        </row>
        <row r="61">
          <cell r="A61">
            <v>46334</v>
          </cell>
        </row>
        <row r="62">
          <cell r="A62">
            <v>46341</v>
          </cell>
        </row>
        <row r="63">
          <cell r="A63">
            <v>46342</v>
          </cell>
        </row>
        <row r="64">
          <cell r="A64">
            <v>46348</v>
          </cell>
        </row>
        <row r="65">
          <cell r="A65">
            <v>46355</v>
          </cell>
        </row>
        <row r="66">
          <cell r="A66">
            <v>46362</v>
          </cell>
        </row>
        <row r="67">
          <cell r="A67">
            <v>46364</v>
          </cell>
        </row>
        <row r="68">
          <cell r="A68">
            <v>46369</v>
          </cell>
        </row>
        <row r="69">
          <cell r="A69">
            <v>46376</v>
          </cell>
        </row>
        <row r="70">
          <cell r="A70">
            <v>46381</v>
          </cell>
        </row>
        <row r="71">
          <cell r="A71">
            <v>46383</v>
          </cell>
        </row>
        <row r="72">
          <cell r="A72">
            <v>46388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L55"/>
  <sheetViews>
    <sheetView zoomScale="70" zoomScaleNormal="70"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2" width="10.140625" customWidth="1"/>
    <col min="3" max="3" width="12.7109375" customWidth="1"/>
    <col min="4" max="4" width="26" customWidth="1"/>
    <col min="5" max="5" width="36.85546875" customWidth="1"/>
    <col min="6" max="7" width="13.28515625" customWidth="1"/>
    <col min="8" max="11" width="7.140625" customWidth="1"/>
    <col min="12" max="12" width="19.140625" customWidth="1"/>
    <col min="13" max="13" width="11.85546875" customWidth="1"/>
    <col min="14" max="16" width="12" customWidth="1"/>
    <col min="17" max="17" width="14.85546875" customWidth="1"/>
    <col min="18" max="18" width="12" customWidth="1"/>
    <col min="19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8" width="10.140625" customWidth="1"/>
    <col min="259" max="259" width="12.7109375" customWidth="1"/>
    <col min="260" max="260" width="26" customWidth="1"/>
    <col min="261" max="261" width="36.8554687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4" width="10.140625" customWidth="1"/>
    <col min="515" max="515" width="12.7109375" customWidth="1"/>
    <col min="516" max="516" width="26" customWidth="1"/>
    <col min="517" max="517" width="36.8554687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0" width="10.140625" customWidth="1"/>
    <col min="771" max="771" width="12.7109375" customWidth="1"/>
    <col min="772" max="772" width="26" customWidth="1"/>
    <col min="773" max="773" width="36.8554687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6" width="10.140625" customWidth="1"/>
    <col min="1027" max="1027" width="12.7109375" customWidth="1"/>
    <col min="1028" max="1028" width="26" customWidth="1"/>
    <col min="1029" max="1029" width="36.8554687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2" width="10.140625" customWidth="1"/>
    <col min="1283" max="1283" width="12.7109375" customWidth="1"/>
    <col min="1284" max="1284" width="26" customWidth="1"/>
    <col min="1285" max="1285" width="36.8554687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8" width="10.140625" customWidth="1"/>
    <col min="1539" max="1539" width="12.7109375" customWidth="1"/>
    <col min="1540" max="1540" width="26" customWidth="1"/>
    <col min="1541" max="1541" width="36.8554687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4" width="10.140625" customWidth="1"/>
    <col min="1795" max="1795" width="12.7109375" customWidth="1"/>
    <col min="1796" max="1796" width="26" customWidth="1"/>
    <col min="1797" max="1797" width="36.8554687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0" width="10.140625" customWidth="1"/>
    <col min="2051" max="2051" width="12.7109375" customWidth="1"/>
    <col min="2052" max="2052" width="26" customWidth="1"/>
    <col min="2053" max="2053" width="36.8554687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6" width="10.140625" customWidth="1"/>
    <col min="2307" max="2307" width="12.7109375" customWidth="1"/>
    <col min="2308" max="2308" width="26" customWidth="1"/>
    <col min="2309" max="2309" width="36.8554687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2" width="10.140625" customWidth="1"/>
    <col min="2563" max="2563" width="12.7109375" customWidth="1"/>
    <col min="2564" max="2564" width="26" customWidth="1"/>
    <col min="2565" max="2565" width="36.8554687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8" width="10.140625" customWidth="1"/>
    <col min="2819" max="2819" width="12.7109375" customWidth="1"/>
    <col min="2820" max="2820" width="26" customWidth="1"/>
    <col min="2821" max="2821" width="36.8554687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4" width="10.140625" customWidth="1"/>
    <col min="3075" max="3075" width="12.7109375" customWidth="1"/>
    <col min="3076" max="3076" width="26" customWidth="1"/>
    <col min="3077" max="3077" width="36.8554687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0" width="10.140625" customWidth="1"/>
    <col min="3331" max="3331" width="12.7109375" customWidth="1"/>
    <col min="3332" max="3332" width="26" customWidth="1"/>
    <col min="3333" max="3333" width="36.8554687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6" width="10.140625" customWidth="1"/>
    <col min="3587" max="3587" width="12.7109375" customWidth="1"/>
    <col min="3588" max="3588" width="26" customWidth="1"/>
    <col min="3589" max="3589" width="36.8554687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2" width="10.140625" customWidth="1"/>
    <col min="3843" max="3843" width="12.7109375" customWidth="1"/>
    <col min="3844" max="3844" width="26" customWidth="1"/>
    <col min="3845" max="3845" width="36.8554687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8" width="10.140625" customWidth="1"/>
    <col min="4099" max="4099" width="12.7109375" customWidth="1"/>
    <col min="4100" max="4100" width="26" customWidth="1"/>
    <col min="4101" max="4101" width="36.8554687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4" width="10.140625" customWidth="1"/>
    <col min="4355" max="4355" width="12.7109375" customWidth="1"/>
    <col min="4356" max="4356" width="26" customWidth="1"/>
    <col min="4357" max="4357" width="36.8554687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0" width="10.140625" customWidth="1"/>
    <col min="4611" max="4611" width="12.7109375" customWidth="1"/>
    <col min="4612" max="4612" width="26" customWidth="1"/>
    <col min="4613" max="4613" width="36.8554687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6" width="10.140625" customWidth="1"/>
    <col min="4867" max="4867" width="12.7109375" customWidth="1"/>
    <col min="4868" max="4868" width="26" customWidth="1"/>
    <col min="4869" max="4869" width="36.8554687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2" width="10.140625" customWidth="1"/>
    <col min="5123" max="5123" width="12.7109375" customWidth="1"/>
    <col min="5124" max="5124" width="26" customWidth="1"/>
    <col min="5125" max="5125" width="36.8554687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8" width="10.140625" customWidth="1"/>
    <col min="5379" max="5379" width="12.7109375" customWidth="1"/>
    <col min="5380" max="5380" width="26" customWidth="1"/>
    <col min="5381" max="5381" width="36.8554687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4" width="10.140625" customWidth="1"/>
    <col min="5635" max="5635" width="12.7109375" customWidth="1"/>
    <col min="5636" max="5636" width="26" customWidth="1"/>
    <col min="5637" max="5637" width="36.8554687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0" width="10.140625" customWidth="1"/>
    <col min="5891" max="5891" width="12.7109375" customWidth="1"/>
    <col min="5892" max="5892" width="26" customWidth="1"/>
    <col min="5893" max="5893" width="36.8554687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6" width="10.140625" customWidth="1"/>
    <col min="6147" max="6147" width="12.7109375" customWidth="1"/>
    <col min="6148" max="6148" width="26" customWidth="1"/>
    <col min="6149" max="6149" width="36.8554687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2" width="10.140625" customWidth="1"/>
    <col min="6403" max="6403" width="12.7109375" customWidth="1"/>
    <col min="6404" max="6404" width="26" customWidth="1"/>
    <col min="6405" max="6405" width="36.8554687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8" width="10.140625" customWidth="1"/>
    <col min="6659" max="6659" width="12.7109375" customWidth="1"/>
    <col min="6660" max="6660" width="26" customWidth="1"/>
    <col min="6661" max="6661" width="36.8554687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4" width="10.140625" customWidth="1"/>
    <col min="6915" max="6915" width="12.7109375" customWidth="1"/>
    <col min="6916" max="6916" width="26" customWidth="1"/>
    <col min="6917" max="6917" width="36.8554687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0" width="10.140625" customWidth="1"/>
    <col min="7171" max="7171" width="12.7109375" customWidth="1"/>
    <col min="7172" max="7172" width="26" customWidth="1"/>
    <col min="7173" max="7173" width="36.8554687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6" width="10.140625" customWidth="1"/>
    <col min="7427" max="7427" width="12.7109375" customWidth="1"/>
    <col min="7428" max="7428" width="26" customWidth="1"/>
    <col min="7429" max="7429" width="36.8554687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2" width="10.140625" customWidth="1"/>
    <col min="7683" max="7683" width="12.7109375" customWidth="1"/>
    <col min="7684" max="7684" width="26" customWidth="1"/>
    <col min="7685" max="7685" width="36.8554687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8" width="10.140625" customWidth="1"/>
    <col min="7939" max="7939" width="12.7109375" customWidth="1"/>
    <col min="7940" max="7940" width="26" customWidth="1"/>
    <col min="7941" max="7941" width="36.8554687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4" width="10.140625" customWidth="1"/>
    <col min="8195" max="8195" width="12.7109375" customWidth="1"/>
    <col min="8196" max="8196" width="26" customWidth="1"/>
    <col min="8197" max="8197" width="36.8554687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0" width="10.140625" customWidth="1"/>
    <col min="8451" max="8451" width="12.7109375" customWidth="1"/>
    <col min="8452" max="8452" width="26" customWidth="1"/>
    <col min="8453" max="8453" width="36.8554687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6" width="10.140625" customWidth="1"/>
    <col min="8707" max="8707" width="12.7109375" customWidth="1"/>
    <col min="8708" max="8708" width="26" customWidth="1"/>
    <col min="8709" max="8709" width="36.8554687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2" width="10.140625" customWidth="1"/>
    <col min="8963" max="8963" width="12.7109375" customWidth="1"/>
    <col min="8964" max="8964" width="26" customWidth="1"/>
    <col min="8965" max="8965" width="36.8554687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8" width="10.140625" customWidth="1"/>
    <col min="9219" max="9219" width="12.7109375" customWidth="1"/>
    <col min="9220" max="9220" width="26" customWidth="1"/>
    <col min="9221" max="9221" width="36.8554687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4" width="10.140625" customWidth="1"/>
    <col min="9475" max="9475" width="12.7109375" customWidth="1"/>
    <col min="9476" max="9476" width="26" customWidth="1"/>
    <col min="9477" max="9477" width="36.8554687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0" width="10.140625" customWidth="1"/>
    <col min="9731" max="9731" width="12.7109375" customWidth="1"/>
    <col min="9732" max="9732" width="26" customWidth="1"/>
    <col min="9733" max="9733" width="36.8554687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6" width="10.140625" customWidth="1"/>
    <col min="9987" max="9987" width="12.7109375" customWidth="1"/>
    <col min="9988" max="9988" width="26" customWidth="1"/>
    <col min="9989" max="9989" width="36.8554687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2" width="10.140625" customWidth="1"/>
    <col min="10243" max="10243" width="12.7109375" customWidth="1"/>
    <col min="10244" max="10244" width="26" customWidth="1"/>
    <col min="10245" max="10245" width="36.8554687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8" width="10.140625" customWidth="1"/>
    <col min="10499" max="10499" width="12.7109375" customWidth="1"/>
    <col min="10500" max="10500" width="26" customWidth="1"/>
    <col min="10501" max="10501" width="36.8554687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4" width="10.140625" customWidth="1"/>
    <col min="10755" max="10755" width="12.7109375" customWidth="1"/>
    <col min="10756" max="10756" width="26" customWidth="1"/>
    <col min="10757" max="10757" width="36.8554687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0" width="10.140625" customWidth="1"/>
    <col min="11011" max="11011" width="12.7109375" customWidth="1"/>
    <col min="11012" max="11012" width="26" customWidth="1"/>
    <col min="11013" max="11013" width="36.8554687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6" width="10.140625" customWidth="1"/>
    <col min="11267" max="11267" width="12.7109375" customWidth="1"/>
    <col min="11268" max="11268" width="26" customWidth="1"/>
    <col min="11269" max="11269" width="36.8554687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2" width="10.140625" customWidth="1"/>
    <col min="11523" max="11523" width="12.7109375" customWidth="1"/>
    <col min="11524" max="11524" width="26" customWidth="1"/>
    <col min="11525" max="11525" width="36.8554687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8" width="10.140625" customWidth="1"/>
    <col min="11779" max="11779" width="12.7109375" customWidth="1"/>
    <col min="11780" max="11780" width="26" customWidth="1"/>
    <col min="11781" max="11781" width="36.8554687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4" width="10.140625" customWidth="1"/>
    <col min="12035" max="12035" width="12.7109375" customWidth="1"/>
    <col min="12036" max="12036" width="26" customWidth="1"/>
    <col min="12037" max="12037" width="36.8554687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0" width="10.140625" customWidth="1"/>
    <col min="12291" max="12291" width="12.7109375" customWidth="1"/>
    <col min="12292" max="12292" width="26" customWidth="1"/>
    <col min="12293" max="12293" width="36.8554687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6" width="10.140625" customWidth="1"/>
    <col min="12547" max="12547" width="12.7109375" customWidth="1"/>
    <col min="12548" max="12548" width="26" customWidth="1"/>
    <col min="12549" max="12549" width="36.8554687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2" width="10.140625" customWidth="1"/>
    <col min="12803" max="12803" width="12.7109375" customWidth="1"/>
    <col min="12804" max="12804" width="26" customWidth="1"/>
    <col min="12805" max="12805" width="36.8554687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8" width="10.140625" customWidth="1"/>
    <col min="13059" max="13059" width="12.7109375" customWidth="1"/>
    <col min="13060" max="13060" width="26" customWidth="1"/>
    <col min="13061" max="13061" width="36.8554687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4" width="10.140625" customWidth="1"/>
    <col min="13315" max="13315" width="12.7109375" customWidth="1"/>
    <col min="13316" max="13316" width="26" customWidth="1"/>
    <col min="13317" max="13317" width="36.8554687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0" width="10.140625" customWidth="1"/>
    <col min="13571" max="13571" width="12.7109375" customWidth="1"/>
    <col min="13572" max="13572" width="26" customWidth="1"/>
    <col min="13573" max="13573" width="36.8554687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6" width="10.140625" customWidth="1"/>
    <col min="13827" max="13827" width="12.7109375" customWidth="1"/>
    <col min="13828" max="13828" width="26" customWidth="1"/>
    <col min="13829" max="13829" width="36.8554687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2" width="10.140625" customWidth="1"/>
    <col min="14083" max="14083" width="12.7109375" customWidth="1"/>
    <col min="14084" max="14084" width="26" customWidth="1"/>
    <col min="14085" max="14085" width="36.8554687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8" width="10.140625" customWidth="1"/>
    <col min="14339" max="14339" width="12.7109375" customWidth="1"/>
    <col min="14340" max="14340" width="26" customWidth="1"/>
    <col min="14341" max="14341" width="36.8554687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4" width="10.140625" customWidth="1"/>
    <col min="14595" max="14595" width="12.7109375" customWidth="1"/>
    <col min="14596" max="14596" width="26" customWidth="1"/>
    <col min="14597" max="14597" width="36.8554687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0" width="10.140625" customWidth="1"/>
    <col min="14851" max="14851" width="12.7109375" customWidth="1"/>
    <col min="14852" max="14852" width="26" customWidth="1"/>
    <col min="14853" max="14853" width="36.8554687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6" width="10.140625" customWidth="1"/>
    <col min="15107" max="15107" width="12.7109375" customWidth="1"/>
    <col min="15108" max="15108" width="26" customWidth="1"/>
    <col min="15109" max="15109" width="36.8554687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2" width="10.140625" customWidth="1"/>
    <col min="15363" max="15363" width="12.7109375" customWidth="1"/>
    <col min="15364" max="15364" width="26" customWidth="1"/>
    <col min="15365" max="15365" width="36.8554687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8" width="10.140625" customWidth="1"/>
    <col min="15619" max="15619" width="12.7109375" customWidth="1"/>
    <col min="15620" max="15620" width="26" customWidth="1"/>
    <col min="15621" max="15621" width="36.8554687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4" width="10.140625" customWidth="1"/>
    <col min="15875" max="15875" width="12.7109375" customWidth="1"/>
    <col min="15876" max="15876" width="26" customWidth="1"/>
    <col min="15877" max="15877" width="36.8554687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0" width="10.140625" customWidth="1"/>
    <col min="16131" max="16131" width="12.7109375" customWidth="1"/>
    <col min="16132" max="16132" width="26" customWidth="1"/>
    <col min="16133" max="16133" width="36.8554687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3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5"/>
      <c r="K3" s="112" t="s">
        <v>2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103" t="s">
        <v>11</v>
      </c>
      <c r="P4" s="104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97" t="s">
        <v>16</v>
      </c>
      <c r="Z4" s="98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2" t="s">
        <v>21</v>
      </c>
      <c r="K5" s="125"/>
      <c r="L5" s="95" t="s">
        <v>22</v>
      </c>
      <c r="M5" s="87"/>
      <c r="N5" s="88"/>
      <c r="O5" s="105"/>
      <c r="P5" s="106"/>
      <c r="Q5" s="105"/>
      <c r="R5" s="106"/>
      <c r="S5" s="87"/>
      <c r="T5" s="88"/>
      <c r="U5" s="87"/>
      <c r="V5" s="88"/>
      <c r="W5" s="87"/>
      <c r="X5" s="88"/>
      <c r="Y5" s="87"/>
      <c r="Z5" s="88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9" t="s">
        <v>23</v>
      </c>
      <c r="K6" s="8" t="s">
        <v>24</v>
      </c>
      <c r="L6" s="96"/>
      <c r="M6" s="10" t="s">
        <v>23</v>
      </c>
      <c r="N6" s="11" t="s">
        <v>24</v>
      </c>
      <c r="O6" s="10" t="s">
        <v>23</v>
      </c>
      <c r="P6" s="11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9" t="s">
        <v>25</v>
      </c>
      <c r="Z6" s="12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1" customFormat="1" ht="15.95" customHeight="1" x14ac:dyDescent="0.25">
      <c r="B7" s="14">
        <v>7</v>
      </c>
      <c r="C7" s="15">
        <v>13</v>
      </c>
      <c r="D7" s="15" t="s">
        <v>26</v>
      </c>
      <c r="E7" s="16" t="s">
        <v>27</v>
      </c>
      <c r="F7" s="17" t="s">
        <v>28</v>
      </c>
      <c r="G7" s="18">
        <v>46055</v>
      </c>
      <c r="H7" s="19">
        <v>46025</v>
      </c>
      <c r="I7" s="20">
        <v>46025</v>
      </c>
      <c r="J7" s="21">
        <v>46056</v>
      </c>
      <c r="K7" s="20">
        <v>46056</v>
      </c>
      <c r="L7" s="22">
        <v>31</v>
      </c>
      <c r="M7" s="19">
        <v>46057</v>
      </c>
      <c r="N7" s="23">
        <v>46057</v>
      </c>
      <c r="O7" s="19">
        <v>46058</v>
      </c>
      <c r="P7" s="20">
        <v>46058</v>
      </c>
      <c r="Q7" s="19">
        <v>46058</v>
      </c>
      <c r="R7" s="20">
        <v>46058</v>
      </c>
      <c r="S7" s="19">
        <v>46059</v>
      </c>
      <c r="T7" s="23">
        <v>46059</v>
      </c>
      <c r="U7" s="19">
        <v>46059</v>
      </c>
      <c r="V7" s="23">
        <v>46059</v>
      </c>
      <c r="W7" s="19">
        <v>46059</v>
      </c>
      <c r="X7" s="23">
        <v>46059</v>
      </c>
      <c r="Y7" s="19">
        <v>46063</v>
      </c>
      <c r="Z7" s="23">
        <v>46063</v>
      </c>
      <c r="AA7" s="19">
        <v>46073</v>
      </c>
      <c r="AB7" s="23">
        <v>46073</v>
      </c>
      <c r="AC7" s="19">
        <v>46076</v>
      </c>
      <c r="AD7" s="20">
        <v>46076</v>
      </c>
      <c r="AE7" s="19">
        <v>46076</v>
      </c>
      <c r="AF7" s="20">
        <v>46076</v>
      </c>
      <c r="AL7" s="1" t="s">
        <v>28</v>
      </c>
    </row>
    <row r="8" spans="2:38" s="1" customFormat="1" ht="15.95" customHeight="1" x14ac:dyDescent="0.25">
      <c r="B8" s="24">
        <v>61</v>
      </c>
      <c r="C8" s="15">
        <v>13</v>
      </c>
      <c r="D8" s="15" t="s">
        <v>29</v>
      </c>
      <c r="E8" s="16" t="s">
        <v>30</v>
      </c>
      <c r="F8" s="17" t="s">
        <v>31</v>
      </c>
      <c r="G8" s="18">
        <v>46056</v>
      </c>
      <c r="H8" s="19">
        <v>45995</v>
      </c>
      <c r="I8" s="20">
        <v>45995</v>
      </c>
      <c r="J8" s="21">
        <v>46057</v>
      </c>
      <c r="K8" s="20">
        <v>46057</v>
      </c>
      <c r="L8" s="22">
        <v>62</v>
      </c>
      <c r="M8" s="19">
        <v>46058</v>
      </c>
      <c r="N8" s="23">
        <v>46058</v>
      </c>
      <c r="O8" s="19">
        <v>46059</v>
      </c>
      <c r="P8" s="20">
        <v>46059</v>
      </c>
      <c r="Q8" s="19">
        <v>46059</v>
      </c>
      <c r="R8" s="20">
        <v>46059</v>
      </c>
      <c r="S8" s="19">
        <v>46062</v>
      </c>
      <c r="T8" s="23">
        <v>46062</v>
      </c>
      <c r="U8" s="19">
        <v>46062</v>
      </c>
      <c r="V8" s="23">
        <v>46062</v>
      </c>
      <c r="W8" s="19">
        <v>46062</v>
      </c>
      <c r="X8" s="23">
        <v>46062</v>
      </c>
      <c r="Y8" s="19">
        <v>46064</v>
      </c>
      <c r="Z8" s="23">
        <v>46064</v>
      </c>
      <c r="AA8" s="19">
        <v>46095</v>
      </c>
      <c r="AB8" s="23">
        <v>46095</v>
      </c>
      <c r="AC8" s="19">
        <v>46097</v>
      </c>
      <c r="AD8" s="20">
        <v>46097</v>
      </c>
      <c r="AE8" s="19">
        <v>46097</v>
      </c>
      <c r="AF8" s="20">
        <v>46097</v>
      </c>
      <c r="AL8" s="1" t="s">
        <v>31</v>
      </c>
    </row>
    <row r="9" spans="2:38" s="1" customFormat="1" ht="15.95" customHeight="1" x14ac:dyDescent="0.25">
      <c r="B9" s="24">
        <v>16</v>
      </c>
      <c r="C9" s="15">
        <v>11</v>
      </c>
      <c r="D9" s="15" t="s">
        <v>32</v>
      </c>
      <c r="E9" s="16" t="s">
        <v>33</v>
      </c>
      <c r="F9" s="25" t="s">
        <v>28</v>
      </c>
      <c r="G9" s="18">
        <v>46057</v>
      </c>
      <c r="H9" s="19">
        <v>46027</v>
      </c>
      <c r="I9" s="20">
        <v>46027</v>
      </c>
      <c r="J9" s="21">
        <v>46058</v>
      </c>
      <c r="K9" s="20">
        <v>46058</v>
      </c>
      <c r="L9" s="22">
        <v>31</v>
      </c>
      <c r="M9" s="19">
        <v>46059</v>
      </c>
      <c r="N9" s="23">
        <v>46059</v>
      </c>
      <c r="O9" s="19">
        <v>46060</v>
      </c>
      <c r="P9" s="20">
        <v>46060</v>
      </c>
      <c r="Q9" s="19">
        <v>46060</v>
      </c>
      <c r="R9" s="20">
        <v>46060</v>
      </c>
      <c r="S9" s="19">
        <v>46062</v>
      </c>
      <c r="T9" s="23">
        <v>46062</v>
      </c>
      <c r="U9" s="19">
        <v>46062</v>
      </c>
      <c r="V9" s="23">
        <v>46062</v>
      </c>
      <c r="W9" s="19">
        <v>46062</v>
      </c>
      <c r="X9" s="23">
        <v>46062</v>
      </c>
      <c r="Y9" s="19">
        <v>46065</v>
      </c>
      <c r="Z9" s="23">
        <v>46065</v>
      </c>
      <c r="AA9" s="19">
        <v>46077</v>
      </c>
      <c r="AB9" s="23">
        <v>46077</v>
      </c>
      <c r="AC9" s="19">
        <v>46078</v>
      </c>
      <c r="AD9" s="20">
        <v>46078</v>
      </c>
      <c r="AE9" s="19">
        <v>46078</v>
      </c>
      <c r="AF9" s="20">
        <v>46078</v>
      </c>
      <c r="AL9" s="1" t="s">
        <v>34</v>
      </c>
    </row>
    <row r="10" spans="2:38" s="1" customFormat="1" ht="15.95" customHeight="1" x14ac:dyDescent="0.25">
      <c r="B10" s="24">
        <v>5</v>
      </c>
      <c r="C10" s="15">
        <v>13</v>
      </c>
      <c r="D10" s="15" t="s">
        <v>26</v>
      </c>
      <c r="E10" s="16" t="s">
        <v>27</v>
      </c>
      <c r="F10" s="25" t="s">
        <v>28</v>
      </c>
      <c r="G10" s="18">
        <v>46058</v>
      </c>
      <c r="H10" s="19">
        <v>46028</v>
      </c>
      <c r="I10" s="26">
        <v>46028</v>
      </c>
      <c r="J10" s="16">
        <v>46059</v>
      </c>
      <c r="K10" s="20">
        <v>46059</v>
      </c>
      <c r="L10" s="22">
        <v>31</v>
      </c>
      <c r="M10" s="19">
        <v>46062</v>
      </c>
      <c r="N10" s="23">
        <v>46062</v>
      </c>
      <c r="O10" s="19">
        <v>46063</v>
      </c>
      <c r="P10" s="20">
        <v>46063</v>
      </c>
      <c r="Q10" s="19">
        <v>46063</v>
      </c>
      <c r="R10" s="20">
        <v>46063</v>
      </c>
      <c r="S10" s="19">
        <v>46064</v>
      </c>
      <c r="T10" s="23">
        <v>46064</v>
      </c>
      <c r="U10" s="19">
        <v>46064</v>
      </c>
      <c r="V10" s="23">
        <v>46064</v>
      </c>
      <c r="W10" s="19">
        <v>46064</v>
      </c>
      <c r="X10" s="23">
        <v>46064</v>
      </c>
      <c r="Y10" s="19">
        <v>46067</v>
      </c>
      <c r="Z10" s="23">
        <v>46067</v>
      </c>
      <c r="AA10" s="19">
        <v>46078</v>
      </c>
      <c r="AB10" s="23">
        <v>46078</v>
      </c>
      <c r="AC10" s="19">
        <v>46079</v>
      </c>
      <c r="AD10" s="20">
        <v>46079</v>
      </c>
      <c r="AE10" s="19">
        <v>46079</v>
      </c>
      <c r="AF10" s="20">
        <v>46079</v>
      </c>
    </row>
    <row r="11" spans="2:38" s="1" customFormat="1" ht="24.6" customHeight="1" x14ac:dyDescent="0.25">
      <c r="B11" s="24">
        <v>15</v>
      </c>
      <c r="C11" s="15">
        <v>13</v>
      </c>
      <c r="D11" s="15" t="s">
        <v>29</v>
      </c>
      <c r="E11" s="27" t="s">
        <v>35</v>
      </c>
      <c r="F11" s="25" t="s">
        <v>28</v>
      </c>
      <c r="G11" s="18">
        <v>46059</v>
      </c>
      <c r="H11" s="19">
        <v>46029</v>
      </c>
      <c r="I11" s="26">
        <v>46029</v>
      </c>
      <c r="J11" s="16">
        <v>46060</v>
      </c>
      <c r="K11" s="20">
        <v>46060</v>
      </c>
      <c r="L11" s="22">
        <v>31</v>
      </c>
      <c r="M11" s="19">
        <v>46062</v>
      </c>
      <c r="N11" s="23">
        <v>46062</v>
      </c>
      <c r="O11" s="19">
        <v>46063</v>
      </c>
      <c r="P11" s="20">
        <v>46063</v>
      </c>
      <c r="Q11" s="19">
        <v>46063</v>
      </c>
      <c r="R11" s="20">
        <v>46063</v>
      </c>
      <c r="S11" s="19">
        <v>46064</v>
      </c>
      <c r="T11" s="23">
        <v>46064</v>
      </c>
      <c r="U11" s="19">
        <v>46064</v>
      </c>
      <c r="V11" s="23">
        <v>46064</v>
      </c>
      <c r="W11" s="19">
        <v>46064</v>
      </c>
      <c r="X11" s="23">
        <v>46064</v>
      </c>
      <c r="Y11" s="19">
        <v>46067</v>
      </c>
      <c r="Z11" s="23">
        <v>46067</v>
      </c>
      <c r="AA11" s="19">
        <v>46077</v>
      </c>
      <c r="AB11" s="23">
        <v>46077</v>
      </c>
      <c r="AC11" s="19">
        <v>46078</v>
      </c>
      <c r="AD11" s="20">
        <v>46078</v>
      </c>
      <c r="AE11" s="19">
        <v>46078</v>
      </c>
      <c r="AF11" s="20">
        <v>46078</v>
      </c>
    </row>
    <row r="12" spans="2:38" s="1" customFormat="1" ht="15.95" customHeight="1" x14ac:dyDescent="0.25">
      <c r="B12" s="24">
        <v>21</v>
      </c>
      <c r="C12" s="15">
        <v>12</v>
      </c>
      <c r="D12" s="15" t="s">
        <v>32</v>
      </c>
      <c r="E12" s="16" t="s">
        <v>36</v>
      </c>
      <c r="F12" s="25" t="s">
        <v>28</v>
      </c>
      <c r="G12" s="18">
        <v>46059</v>
      </c>
      <c r="H12" s="19">
        <v>46030</v>
      </c>
      <c r="I12" s="26">
        <v>46030</v>
      </c>
      <c r="J12" s="16">
        <v>46062</v>
      </c>
      <c r="K12" s="20">
        <v>46062</v>
      </c>
      <c r="L12" s="22">
        <v>32</v>
      </c>
      <c r="M12" s="19">
        <v>46063</v>
      </c>
      <c r="N12" s="23">
        <v>46063</v>
      </c>
      <c r="O12" s="19">
        <v>46064</v>
      </c>
      <c r="P12" s="20">
        <v>46064</v>
      </c>
      <c r="Q12" s="19">
        <v>46064</v>
      </c>
      <c r="R12" s="20">
        <v>46064</v>
      </c>
      <c r="S12" s="19">
        <v>46065</v>
      </c>
      <c r="T12" s="23">
        <v>46065</v>
      </c>
      <c r="U12" s="19">
        <v>46065</v>
      </c>
      <c r="V12" s="23">
        <v>46065</v>
      </c>
      <c r="W12" s="19">
        <v>46065</v>
      </c>
      <c r="X12" s="23">
        <v>46065</v>
      </c>
      <c r="Y12" s="19">
        <v>46069</v>
      </c>
      <c r="Z12" s="23">
        <v>46069</v>
      </c>
      <c r="AA12" s="19">
        <v>46079</v>
      </c>
      <c r="AB12" s="23">
        <v>46079</v>
      </c>
      <c r="AC12" s="19">
        <v>46080</v>
      </c>
      <c r="AD12" s="20">
        <v>46080</v>
      </c>
      <c r="AE12" s="19">
        <v>46080</v>
      </c>
      <c r="AF12" s="20">
        <v>46080</v>
      </c>
    </row>
    <row r="13" spans="2:38" s="1" customFormat="1" ht="15.95" customHeight="1" x14ac:dyDescent="0.25">
      <c r="B13" s="24">
        <v>22</v>
      </c>
      <c r="C13" s="15">
        <v>12</v>
      </c>
      <c r="D13" s="15" t="s">
        <v>26</v>
      </c>
      <c r="E13" s="16" t="s">
        <v>37</v>
      </c>
      <c r="F13" s="25" t="s">
        <v>28</v>
      </c>
      <c r="G13" s="18">
        <v>46059</v>
      </c>
      <c r="H13" s="19">
        <v>46030</v>
      </c>
      <c r="I13" s="26">
        <v>46030</v>
      </c>
      <c r="J13" s="16">
        <v>46062</v>
      </c>
      <c r="K13" s="20">
        <v>46062</v>
      </c>
      <c r="L13" s="22">
        <v>32</v>
      </c>
      <c r="M13" s="19">
        <v>46063</v>
      </c>
      <c r="N13" s="23">
        <v>46063</v>
      </c>
      <c r="O13" s="19">
        <v>46064</v>
      </c>
      <c r="P13" s="20">
        <v>46064</v>
      </c>
      <c r="Q13" s="19">
        <v>46064</v>
      </c>
      <c r="R13" s="20">
        <v>46064</v>
      </c>
      <c r="S13" s="19">
        <v>46065</v>
      </c>
      <c r="T13" s="23">
        <v>46065</v>
      </c>
      <c r="U13" s="19">
        <v>46065</v>
      </c>
      <c r="V13" s="23">
        <v>46065</v>
      </c>
      <c r="W13" s="19">
        <v>46065</v>
      </c>
      <c r="X13" s="23">
        <v>46065</v>
      </c>
      <c r="Y13" s="19">
        <v>46069</v>
      </c>
      <c r="Z13" s="23">
        <v>46069</v>
      </c>
      <c r="AA13" s="19">
        <v>46078</v>
      </c>
      <c r="AB13" s="23">
        <v>46078</v>
      </c>
      <c r="AC13" s="19">
        <v>46079</v>
      </c>
      <c r="AD13" s="20">
        <v>46079</v>
      </c>
      <c r="AE13" s="19">
        <v>46079</v>
      </c>
      <c r="AF13" s="20">
        <v>46079</v>
      </c>
    </row>
    <row r="14" spans="2:38" s="1" customFormat="1" ht="15.95" customHeight="1" x14ac:dyDescent="0.25">
      <c r="B14" s="24">
        <v>39</v>
      </c>
      <c r="C14" s="15">
        <v>12</v>
      </c>
      <c r="D14" s="15" t="s">
        <v>29</v>
      </c>
      <c r="E14" s="16" t="s">
        <v>38</v>
      </c>
      <c r="F14" s="25" t="s">
        <v>28</v>
      </c>
      <c r="G14" s="18">
        <v>46059</v>
      </c>
      <c r="H14" s="19">
        <v>46030</v>
      </c>
      <c r="I14" s="26">
        <v>46030</v>
      </c>
      <c r="J14" s="16">
        <v>46062</v>
      </c>
      <c r="K14" s="20">
        <v>46062</v>
      </c>
      <c r="L14" s="22">
        <v>32</v>
      </c>
      <c r="M14" s="19">
        <v>46063</v>
      </c>
      <c r="N14" s="23">
        <v>46063</v>
      </c>
      <c r="O14" s="28">
        <v>46064</v>
      </c>
      <c r="P14" s="20">
        <v>46064</v>
      </c>
      <c r="Q14" s="28">
        <v>46064</v>
      </c>
      <c r="R14" s="20">
        <v>46064</v>
      </c>
      <c r="S14" s="28">
        <v>46065</v>
      </c>
      <c r="T14" s="23">
        <v>46065</v>
      </c>
      <c r="U14" s="19">
        <v>46065</v>
      </c>
      <c r="V14" s="23">
        <v>46065</v>
      </c>
      <c r="W14" s="19">
        <v>46065</v>
      </c>
      <c r="X14" s="23">
        <v>46065</v>
      </c>
      <c r="Y14" s="19">
        <v>46069</v>
      </c>
      <c r="Z14" s="23">
        <v>46069</v>
      </c>
      <c r="AA14" s="19">
        <v>46078</v>
      </c>
      <c r="AB14" s="23">
        <v>46078</v>
      </c>
      <c r="AC14" s="19">
        <v>46079</v>
      </c>
      <c r="AD14" s="20">
        <v>46079</v>
      </c>
      <c r="AE14" s="19">
        <v>46079</v>
      </c>
      <c r="AF14" s="20">
        <v>46079</v>
      </c>
    </row>
    <row r="15" spans="2:38" s="1" customFormat="1" ht="15.95" customHeight="1" x14ac:dyDescent="0.25">
      <c r="B15" s="24">
        <v>25</v>
      </c>
      <c r="C15" s="15">
        <v>11</v>
      </c>
      <c r="D15" s="15" t="s">
        <v>26</v>
      </c>
      <c r="E15" s="16" t="s">
        <v>39</v>
      </c>
      <c r="F15" s="25" t="s">
        <v>28</v>
      </c>
      <c r="G15" s="18">
        <v>46062</v>
      </c>
      <c r="H15" s="19">
        <v>46032</v>
      </c>
      <c r="I15" s="26">
        <v>46032</v>
      </c>
      <c r="J15" s="16">
        <v>46063</v>
      </c>
      <c r="K15" s="20">
        <v>46063</v>
      </c>
      <c r="L15" s="22">
        <v>31</v>
      </c>
      <c r="M15" s="19">
        <v>46065</v>
      </c>
      <c r="N15" s="23">
        <v>46065</v>
      </c>
      <c r="O15" s="19">
        <v>46066</v>
      </c>
      <c r="P15" s="20">
        <v>46066</v>
      </c>
      <c r="Q15" s="19">
        <v>46069</v>
      </c>
      <c r="R15" s="20">
        <v>46069</v>
      </c>
      <c r="S15" s="19">
        <v>46070</v>
      </c>
      <c r="T15" s="23">
        <v>46070</v>
      </c>
      <c r="U15" s="19">
        <v>46070</v>
      </c>
      <c r="V15" s="23">
        <v>46070</v>
      </c>
      <c r="W15" s="19">
        <v>46070</v>
      </c>
      <c r="X15" s="23">
        <v>46070</v>
      </c>
      <c r="Y15" s="19">
        <v>46076</v>
      </c>
      <c r="Z15" s="23">
        <v>46076</v>
      </c>
      <c r="AA15" s="19">
        <v>46086</v>
      </c>
      <c r="AB15" s="23">
        <v>46086</v>
      </c>
      <c r="AC15" s="19">
        <v>46087</v>
      </c>
      <c r="AD15" s="20">
        <v>46087</v>
      </c>
      <c r="AE15" s="19">
        <v>46087</v>
      </c>
      <c r="AF15" s="20">
        <v>46087</v>
      </c>
    </row>
    <row r="16" spans="2:38" s="1" customFormat="1" ht="15.95" customHeight="1" x14ac:dyDescent="0.25">
      <c r="B16" s="24">
        <v>60</v>
      </c>
      <c r="C16" s="15">
        <v>13</v>
      </c>
      <c r="D16" s="15" t="s">
        <v>32</v>
      </c>
      <c r="E16" s="16" t="s">
        <v>40</v>
      </c>
      <c r="F16" s="25" t="s">
        <v>31</v>
      </c>
      <c r="G16" s="18">
        <v>46063</v>
      </c>
      <c r="H16" s="19">
        <v>46002</v>
      </c>
      <c r="I16" s="26">
        <v>46002</v>
      </c>
      <c r="J16" s="16">
        <v>46064</v>
      </c>
      <c r="K16" s="20">
        <v>46064</v>
      </c>
      <c r="L16" s="22">
        <v>62</v>
      </c>
      <c r="M16" s="19">
        <v>46065</v>
      </c>
      <c r="N16" s="23">
        <v>46065</v>
      </c>
      <c r="O16" s="19">
        <v>46066</v>
      </c>
      <c r="P16" s="20">
        <v>46066</v>
      </c>
      <c r="Q16" s="19">
        <v>46066</v>
      </c>
      <c r="R16" s="20">
        <v>46066</v>
      </c>
      <c r="S16" s="19">
        <v>46069</v>
      </c>
      <c r="T16" s="23">
        <v>46069</v>
      </c>
      <c r="U16" s="19">
        <v>46069</v>
      </c>
      <c r="V16" s="23">
        <v>46069</v>
      </c>
      <c r="W16" s="19">
        <v>46069</v>
      </c>
      <c r="X16" s="23">
        <v>46069</v>
      </c>
      <c r="Y16" s="19">
        <v>45706</v>
      </c>
      <c r="Z16" s="23">
        <v>45706</v>
      </c>
      <c r="AA16" s="19">
        <v>46100</v>
      </c>
      <c r="AB16" s="23">
        <v>46100</v>
      </c>
      <c r="AC16" s="19">
        <v>46101</v>
      </c>
      <c r="AD16" s="20">
        <v>46101</v>
      </c>
      <c r="AE16" s="19">
        <v>46101</v>
      </c>
      <c r="AF16" s="20">
        <v>46101</v>
      </c>
    </row>
    <row r="17" spans="2:32" s="1" customFormat="1" ht="15.95" customHeight="1" x14ac:dyDescent="0.25">
      <c r="B17" s="24">
        <v>10</v>
      </c>
      <c r="C17" s="15">
        <v>12</v>
      </c>
      <c r="D17" s="15" t="s">
        <v>29</v>
      </c>
      <c r="E17" s="16" t="s">
        <v>41</v>
      </c>
      <c r="F17" s="25" t="s">
        <v>28</v>
      </c>
      <c r="G17" s="18">
        <v>46064</v>
      </c>
      <c r="H17" s="19">
        <v>46035</v>
      </c>
      <c r="I17" s="20">
        <v>46035</v>
      </c>
      <c r="J17" s="21">
        <v>46065</v>
      </c>
      <c r="K17" s="20">
        <v>46065</v>
      </c>
      <c r="L17" s="22">
        <v>30</v>
      </c>
      <c r="M17" s="19">
        <v>46066</v>
      </c>
      <c r="N17" s="23">
        <v>46066</v>
      </c>
      <c r="O17" s="19">
        <v>46067</v>
      </c>
      <c r="P17" s="20">
        <v>46067</v>
      </c>
      <c r="Q17" s="19">
        <v>46067</v>
      </c>
      <c r="R17" s="20">
        <v>46067</v>
      </c>
      <c r="S17" s="19">
        <v>46069</v>
      </c>
      <c r="T17" s="23">
        <v>46069</v>
      </c>
      <c r="U17" s="19">
        <v>46069</v>
      </c>
      <c r="V17" s="23">
        <v>46069</v>
      </c>
      <c r="W17" s="19">
        <v>46069</v>
      </c>
      <c r="X17" s="23">
        <v>46069</v>
      </c>
      <c r="Y17" s="19">
        <v>46073</v>
      </c>
      <c r="Z17" s="23">
        <v>46073</v>
      </c>
      <c r="AA17" s="19">
        <v>46084</v>
      </c>
      <c r="AB17" s="23">
        <v>46084</v>
      </c>
      <c r="AC17" s="19">
        <v>46085</v>
      </c>
      <c r="AD17" s="20">
        <v>46085</v>
      </c>
      <c r="AE17" s="19">
        <v>46085</v>
      </c>
      <c r="AF17" s="20">
        <v>46085</v>
      </c>
    </row>
    <row r="18" spans="2:32" s="1" customFormat="1" ht="15.95" customHeight="1" x14ac:dyDescent="0.25">
      <c r="B18" s="14">
        <v>29</v>
      </c>
      <c r="C18" s="15">
        <v>11</v>
      </c>
      <c r="D18" s="15" t="s">
        <v>32</v>
      </c>
      <c r="E18" s="16" t="s">
        <v>42</v>
      </c>
      <c r="F18" s="25" t="s">
        <v>28</v>
      </c>
      <c r="G18" s="18">
        <v>46065</v>
      </c>
      <c r="H18" s="19">
        <v>46037</v>
      </c>
      <c r="I18" s="20">
        <v>46037</v>
      </c>
      <c r="J18" s="21">
        <v>46066</v>
      </c>
      <c r="K18" s="20">
        <v>46066</v>
      </c>
      <c r="L18" s="22">
        <v>29</v>
      </c>
      <c r="M18" s="19">
        <v>46070</v>
      </c>
      <c r="N18" s="23">
        <v>46070</v>
      </c>
      <c r="O18" s="19">
        <v>46071</v>
      </c>
      <c r="P18" s="20">
        <v>46071</v>
      </c>
      <c r="Q18" s="19">
        <v>46072</v>
      </c>
      <c r="R18" s="20">
        <v>46072</v>
      </c>
      <c r="S18" s="19">
        <v>46073</v>
      </c>
      <c r="T18" s="23">
        <v>46073</v>
      </c>
      <c r="U18" s="19">
        <v>46073</v>
      </c>
      <c r="V18" s="23">
        <v>46073</v>
      </c>
      <c r="W18" s="19">
        <v>46073</v>
      </c>
      <c r="X18" s="23">
        <v>46073</v>
      </c>
      <c r="Y18" s="19">
        <v>46078</v>
      </c>
      <c r="Z18" s="23">
        <v>46078</v>
      </c>
      <c r="AA18" s="19">
        <v>46090</v>
      </c>
      <c r="AB18" s="23">
        <v>46090</v>
      </c>
      <c r="AC18" s="19">
        <v>46091</v>
      </c>
      <c r="AD18" s="20">
        <v>46091</v>
      </c>
      <c r="AE18" s="19">
        <v>46091</v>
      </c>
      <c r="AF18" s="20">
        <v>46091</v>
      </c>
    </row>
    <row r="19" spans="2:32" s="1" customFormat="1" ht="15.95" customHeight="1" x14ac:dyDescent="0.25">
      <c r="B19" s="24">
        <v>13</v>
      </c>
      <c r="C19" s="15">
        <v>12</v>
      </c>
      <c r="D19" s="15" t="s">
        <v>26</v>
      </c>
      <c r="E19" s="16" t="s">
        <v>43</v>
      </c>
      <c r="F19" s="25" t="s">
        <v>28</v>
      </c>
      <c r="G19" s="18">
        <v>46066</v>
      </c>
      <c r="H19" s="19">
        <v>46036</v>
      </c>
      <c r="I19" s="20">
        <v>46036</v>
      </c>
      <c r="J19" s="21">
        <v>46067</v>
      </c>
      <c r="K19" s="20">
        <v>46067</v>
      </c>
      <c r="L19" s="22">
        <v>31</v>
      </c>
      <c r="M19" s="19">
        <v>46069</v>
      </c>
      <c r="N19" s="23">
        <v>46069</v>
      </c>
      <c r="O19" s="19">
        <v>46070</v>
      </c>
      <c r="P19" s="20">
        <v>46070</v>
      </c>
      <c r="Q19" s="19">
        <v>46070</v>
      </c>
      <c r="R19" s="20">
        <v>46070</v>
      </c>
      <c r="S19" s="19">
        <v>46071</v>
      </c>
      <c r="T19" s="23">
        <v>46071</v>
      </c>
      <c r="U19" s="19">
        <v>46071</v>
      </c>
      <c r="V19" s="23">
        <v>46071</v>
      </c>
      <c r="W19" s="19">
        <v>46071</v>
      </c>
      <c r="X19" s="23">
        <v>46071</v>
      </c>
      <c r="Y19" s="19">
        <v>46074</v>
      </c>
      <c r="Z19" s="23">
        <v>46074</v>
      </c>
      <c r="AA19" s="19">
        <v>46084</v>
      </c>
      <c r="AB19" s="23">
        <v>46084</v>
      </c>
      <c r="AC19" s="19">
        <v>46085</v>
      </c>
      <c r="AD19" s="20">
        <v>46085</v>
      </c>
      <c r="AE19" s="19">
        <v>46085</v>
      </c>
      <c r="AF19" s="20">
        <v>46085</v>
      </c>
    </row>
    <row r="20" spans="2:32" s="1" customFormat="1" ht="15.95" customHeight="1" x14ac:dyDescent="0.25">
      <c r="B20" s="24">
        <v>35</v>
      </c>
      <c r="C20" s="15">
        <v>11</v>
      </c>
      <c r="D20" s="15" t="s">
        <v>29</v>
      </c>
      <c r="E20" s="16" t="s">
        <v>39</v>
      </c>
      <c r="F20" s="25" t="s">
        <v>28</v>
      </c>
      <c r="G20" s="18">
        <v>46066</v>
      </c>
      <c r="H20" s="19">
        <v>46038</v>
      </c>
      <c r="I20" s="20">
        <v>46038</v>
      </c>
      <c r="J20" s="21">
        <v>46069</v>
      </c>
      <c r="K20" s="20">
        <v>46069</v>
      </c>
      <c r="L20" s="22">
        <v>31</v>
      </c>
      <c r="M20" s="19">
        <v>46070</v>
      </c>
      <c r="N20" s="23">
        <v>46070</v>
      </c>
      <c r="O20" s="19">
        <v>46071</v>
      </c>
      <c r="P20" s="20">
        <v>46071</v>
      </c>
      <c r="Q20" s="19">
        <v>46072</v>
      </c>
      <c r="R20" s="20">
        <v>46072</v>
      </c>
      <c r="S20" s="19">
        <v>46073</v>
      </c>
      <c r="T20" s="23">
        <v>46073</v>
      </c>
      <c r="U20" s="19">
        <v>46073</v>
      </c>
      <c r="V20" s="23">
        <v>46073</v>
      </c>
      <c r="W20" s="19">
        <v>46073</v>
      </c>
      <c r="X20" s="23">
        <v>46073</v>
      </c>
      <c r="Y20" s="19">
        <v>46079</v>
      </c>
      <c r="Z20" s="23">
        <v>46079</v>
      </c>
      <c r="AA20" s="19">
        <v>46091</v>
      </c>
      <c r="AB20" s="23">
        <v>46091</v>
      </c>
      <c r="AC20" s="19">
        <v>46092</v>
      </c>
      <c r="AD20" s="20">
        <v>46092</v>
      </c>
      <c r="AE20" s="19">
        <v>46092</v>
      </c>
      <c r="AF20" s="20">
        <v>46092</v>
      </c>
    </row>
    <row r="21" spans="2:32" s="1" customFormat="1" ht="15.95" customHeight="1" x14ac:dyDescent="0.25">
      <c r="B21" s="24">
        <v>9</v>
      </c>
      <c r="C21" s="15">
        <v>11</v>
      </c>
      <c r="D21" s="15" t="s">
        <v>32</v>
      </c>
      <c r="E21" s="16" t="s">
        <v>44</v>
      </c>
      <c r="F21" s="25" t="s">
        <v>28</v>
      </c>
      <c r="G21" s="18">
        <v>46066</v>
      </c>
      <c r="H21" s="19">
        <v>46038</v>
      </c>
      <c r="I21" s="20">
        <v>46038</v>
      </c>
      <c r="J21" s="21">
        <v>46069</v>
      </c>
      <c r="K21" s="20">
        <v>46069</v>
      </c>
      <c r="L21" s="22">
        <v>31</v>
      </c>
      <c r="M21" s="19">
        <v>46070</v>
      </c>
      <c r="N21" s="23">
        <v>46070</v>
      </c>
      <c r="O21" s="19">
        <v>46071</v>
      </c>
      <c r="P21" s="20">
        <v>46071</v>
      </c>
      <c r="Q21" s="19">
        <v>46071</v>
      </c>
      <c r="R21" s="20">
        <v>46071</v>
      </c>
      <c r="S21" s="19">
        <v>46072</v>
      </c>
      <c r="T21" s="23">
        <v>46072</v>
      </c>
      <c r="U21" s="19">
        <v>46072</v>
      </c>
      <c r="V21" s="23">
        <v>46072</v>
      </c>
      <c r="W21" s="19">
        <v>46072</v>
      </c>
      <c r="X21" s="23">
        <v>46072</v>
      </c>
      <c r="Y21" s="19">
        <v>46076</v>
      </c>
      <c r="Z21" s="23">
        <v>46076</v>
      </c>
      <c r="AA21" s="19">
        <v>46086</v>
      </c>
      <c r="AB21" s="23">
        <v>46086</v>
      </c>
      <c r="AC21" s="19">
        <v>46087</v>
      </c>
      <c r="AD21" s="20">
        <v>46087</v>
      </c>
      <c r="AE21" s="19">
        <v>46087</v>
      </c>
      <c r="AF21" s="20">
        <v>46087</v>
      </c>
    </row>
    <row r="22" spans="2:32" s="1" customFormat="1" ht="15.95" customHeight="1" x14ac:dyDescent="0.25">
      <c r="B22" s="24">
        <v>66</v>
      </c>
      <c r="C22" s="15">
        <v>12</v>
      </c>
      <c r="D22" s="15" t="s">
        <v>26</v>
      </c>
      <c r="E22" s="16" t="s">
        <v>45</v>
      </c>
      <c r="F22" s="25" t="s">
        <v>31</v>
      </c>
      <c r="G22" s="18">
        <v>46069</v>
      </c>
      <c r="H22" s="19">
        <v>46008</v>
      </c>
      <c r="I22" s="20">
        <v>46008</v>
      </c>
      <c r="J22" s="21">
        <v>46070</v>
      </c>
      <c r="K22" s="20">
        <v>46070</v>
      </c>
      <c r="L22" s="22">
        <v>62</v>
      </c>
      <c r="M22" s="19">
        <v>46071</v>
      </c>
      <c r="N22" s="23">
        <v>46071</v>
      </c>
      <c r="O22" s="19">
        <v>46072</v>
      </c>
      <c r="P22" s="20">
        <v>46072</v>
      </c>
      <c r="Q22" s="19">
        <v>46072</v>
      </c>
      <c r="R22" s="20">
        <v>46072</v>
      </c>
      <c r="S22" s="19">
        <v>46073</v>
      </c>
      <c r="T22" s="23">
        <v>46073</v>
      </c>
      <c r="U22" s="19">
        <v>46073</v>
      </c>
      <c r="V22" s="23">
        <v>46073</v>
      </c>
      <c r="W22" s="19">
        <v>46073</v>
      </c>
      <c r="X22" s="23">
        <v>46073</v>
      </c>
      <c r="Y22" s="19">
        <v>46078</v>
      </c>
      <c r="Z22" s="23">
        <v>46078</v>
      </c>
      <c r="AA22" s="19">
        <v>46107</v>
      </c>
      <c r="AB22" s="23">
        <v>46107</v>
      </c>
      <c r="AC22" s="19">
        <v>46108</v>
      </c>
      <c r="AD22" s="20">
        <v>46108</v>
      </c>
      <c r="AE22" s="19">
        <v>46108</v>
      </c>
      <c r="AF22" s="20">
        <v>46108</v>
      </c>
    </row>
    <row r="23" spans="2:32" s="1" customFormat="1" ht="15.95" customHeight="1" x14ac:dyDescent="0.25">
      <c r="B23" s="24">
        <v>42</v>
      </c>
      <c r="C23" s="15">
        <v>11</v>
      </c>
      <c r="D23" s="15" t="s">
        <v>29</v>
      </c>
      <c r="E23" s="16" t="s">
        <v>39</v>
      </c>
      <c r="F23" s="25" t="s">
        <v>28</v>
      </c>
      <c r="G23" s="18">
        <v>46070</v>
      </c>
      <c r="H23" s="19">
        <v>46041</v>
      </c>
      <c r="I23" s="20">
        <v>46041</v>
      </c>
      <c r="J23" s="21">
        <v>46071</v>
      </c>
      <c r="K23" s="20">
        <v>46071</v>
      </c>
      <c r="L23" s="22">
        <v>30</v>
      </c>
      <c r="M23" s="19">
        <v>46072</v>
      </c>
      <c r="N23" s="23">
        <v>46072</v>
      </c>
      <c r="O23" s="19">
        <v>46073</v>
      </c>
      <c r="P23" s="20">
        <v>46073</v>
      </c>
      <c r="Q23" s="19">
        <v>46076</v>
      </c>
      <c r="R23" s="20">
        <v>46076</v>
      </c>
      <c r="S23" s="19">
        <v>46077</v>
      </c>
      <c r="T23" s="23">
        <v>46077</v>
      </c>
      <c r="U23" s="19">
        <v>46077</v>
      </c>
      <c r="V23" s="23">
        <v>46077</v>
      </c>
      <c r="W23" s="19">
        <v>46077</v>
      </c>
      <c r="X23" s="23">
        <v>46077</v>
      </c>
      <c r="Y23" s="19">
        <v>46080</v>
      </c>
      <c r="Z23" s="23">
        <v>46080</v>
      </c>
      <c r="AA23" s="19">
        <v>46092</v>
      </c>
      <c r="AB23" s="23">
        <v>46092</v>
      </c>
      <c r="AC23" s="19">
        <v>46093</v>
      </c>
      <c r="AD23" s="20">
        <v>46093</v>
      </c>
      <c r="AE23" s="19">
        <v>46093</v>
      </c>
      <c r="AF23" s="20">
        <v>46093</v>
      </c>
    </row>
    <row r="24" spans="2:32" s="1" customFormat="1" ht="15.95" customHeight="1" x14ac:dyDescent="0.25">
      <c r="B24" s="24">
        <v>47</v>
      </c>
      <c r="C24" s="15">
        <v>11</v>
      </c>
      <c r="D24" s="15" t="s">
        <v>32</v>
      </c>
      <c r="E24" s="16" t="s">
        <v>39</v>
      </c>
      <c r="F24" s="25" t="s">
        <v>28</v>
      </c>
      <c r="G24" s="18">
        <v>46071</v>
      </c>
      <c r="H24" s="19">
        <v>46042</v>
      </c>
      <c r="I24" s="20">
        <v>46042</v>
      </c>
      <c r="J24" s="21">
        <v>46072</v>
      </c>
      <c r="K24" s="20">
        <v>46072</v>
      </c>
      <c r="L24" s="22">
        <v>30</v>
      </c>
      <c r="M24" s="19">
        <v>46073</v>
      </c>
      <c r="N24" s="23">
        <v>46073</v>
      </c>
      <c r="O24" s="19">
        <v>46074</v>
      </c>
      <c r="P24" s="20">
        <v>46074</v>
      </c>
      <c r="Q24" s="19">
        <v>46076</v>
      </c>
      <c r="R24" s="20">
        <v>46076</v>
      </c>
      <c r="S24" s="19">
        <v>46077</v>
      </c>
      <c r="T24" s="23">
        <v>46077</v>
      </c>
      <c r="U24" s="19">
        <v>46077</v>
      </c>
      <c r="V24" s="23">
        <v>46077</v>
      </c>
      <c r="W24" s="19">
        <v>46077</v>
      </c>
      <c r="X24" s="23">
        <v>46077</v>
      </c>
      <c r="Y24" s="19">
        <v>46081</v>
      </c>
      <c r="Z24" s="23">
        <v>46081</v>
      </c>
      <c r="AA24" s="19">
        <v>46093</v>
      </c>
      <c r="AB24" s="23">
        <v>46093</v>
      </c>
      <c r="AC24" s="19">
        <v>46094</v>
      </c>
      <c r="AD24" s="20">
        <v>46094</v>
      </c>
      <c r="AE24" s="19">
        <v>46094</v>
      </c>
      <c r="AF24" s="20">
        <v>46094</v>
      </c>
    </row>
    <row r="25" spans="2:32" s="1" customFormat="1" ht="15.95" customHeight="1" x14ac:dyDescent="0.25">
      <c r="B25" s="24">
        <v>49</v>
      </c>
      <c r="C25" s="15">
        <v>11</v>
      </c>
      <c r="D25" s="15" t="s">
        <v>29</v>
      </c>
      <c r="E25" s="16" t="s">
        <v>39</v>
      </c>
      <c r="F25" s="25" t="s">
        <v>28</v>
      </c>
      <c r="G25" s="18">
        <v>46071</v>
      </c>
      <c r="H25" s="19">
        <v>46044</v>
      </c>
      <c r="I25" s="20">
        <v>46044</v>
      </c>
      <c r="J25" s="21">
        <v>46073</v>
      </c>
      <c r="K25" s="20">
        <v>46073</v>
      </c>
      <c r="L25" s="22">
        <v>29</v>
      </c>
      <c r="M25" s="19">
        <v>46076</v>
      </c>
      <c r="N25" s="23">
        <v>46076</v>
      </c>
      <c r="O25" s="19">
        <v>46078</v>
      </c>
      <c r="P25" s="20">
        <v>46078</v>
      </c>
      <c r="Q25" s="19">
        <v>46079</v>
      </c>
      <c r="R25" s="20">
        <v>46079</v>
      </c>
      <c r="S25" s="19">
        <v>46080</v>
      </c>
      <c r="T25" s="23">
        <v>46080</v>
      </c>
      <c r="U25" s="19">
        <v>46080</v>
      </c>
      <c r="V25" s="23">
        <v>46080</v>
      </c>
      <c r="W25" s="19">
        <v>46080</v>
      </c>
      <c r="X25" s="23">
        <v>46080</v>
      </c>
      <c r="Y25" s="19">
        <v>46084</v>
      </c>
      <c r="Z25" s="23">
        <v>46084</v>
      </c>
      <c r="AA25" s="19">
        <v>46094</v>
      </c>
      <c r="AB25" s="23">
        <v>46094</v>
      </c>
      <c r="AC25" s="19">
        <v>46097</v>
      </c>
      <c r="AD25" s="20">
        <v>46097</v>
      </c>
      <c r="AE25" s="19">
        <v>46097</v>
      </c>
      <c r="AF25" s="20">
        <v>46097</v>
      </c>
    </row>
    <row r="26" spans="2:32" s="1" customFormat="1" ht="15.95" customHeight="1" x14ac:dyDescent="0.25">
      <c r="B26" s="24">
        <v>51</v>
      </c>
      <c r="C26" s="15">
        <v>11</v>
      </c>
      <c r="D26" s="15" t="s">
        <v>32</v>
      </c>
      <c r="E26" s="16" t="s">
        <v>39</v>
      </c>
      <c r="F26" s="25" t="s">
        <v>28</v>
      </c>
      <c r="G26" s="18">
        <v>46072</v>
      </c>
      <c r="H26" s="19">
        <v>46045</v>
      </c>
      <c r="I26" s="20">
        <v>46045</v>
      </c>
      <c r="J26" s="21">
        <v>46073</v>
      </c>
      <c r="K26" s="20">
        <v>46073</v>
      </c>
      <c r="L26" s="22">
        <v>28</v>
      </c>
      <c r="M26" s="19">
        <v>46076</v>
      </c>
      <c r="N26" s="23">
        <v>46076</v>
      </c>
      <c r="O26" s="19">
        <v>46078</v>
      </c>
      <c r="P26" s="20">
        <v>46078</v>
      </c>
      <c r="Q26" s="19">
        <v>46079</v>
      </c>
      <c r="R26" s="20">
        <v>46079</v>
      </c>
      <c r="S26" s="19">
        <v>46080</v>
      </c>
      <c r="T26" s="23">
        <v>46080</v>
      </c>
      <c r="U26" s="19">
        <v>46080</v>
      </c>
      <c r="V26" s="23">
        <v>46080</v>
      </c>
      <c r="W26" s="19">
        <v>46080</v>
      </c>
      <c r="X26" s="23">
        <v>46080</v>
      </c>
      <c r="Y26" s="19">
        <v>46084</v>
      </c>
      <c r="Z26" s="23">
        <v>46084</v>
      </c>
      <c r="AA26" s="19">
        <v>46097</v>
      </c>
      <c r="AB26" s="23">
        <v>46097</v>
      </c>
      <c r="AC26" s="19">
        <v>46098</v>
      </c>
      <c r="AD26" s="20">
        <v>46098</v>
      </c>
      <c r="AE26" s="19">
        <v>46098</v>
      </c>
      <c r="AF26" s="20">
        <v>46098</v>
      </c>
    </row>
    <row r="27" spans="2:32" s="1" customFormat="1" ht="15.95" customHeight="1" x14ac:dyDescent="0.25">
      <c r="B27" s="24">
        <v>67</v>
      </c>
      <c r="C27" s="15">
        <v>12</v>
      </c>
      <c r="D27" s="15" t="s">
        <v>32</v>
      </c>
      <c r="E27" s="16" t="s">
        <v>43</v>
      </c>
      <c r="F27" s="25" t="s">
        <v>31</v>
      </c>
      <c r="G27" s="18">
        <v>46073</v>
      </c>
      <c r="H27" s="19">
        <v>46010</v>
      </c>
      <c r="I27" s="20">
        <v>46010</v>
      </c>
      <c r="J27" s="21">
        <v>46074</v>
      </c>
      <c r="K27" s="20">
        <v>46074</v>
      </c>
      <c r="L27" s="22">
        <v>64</v>
      </c>
      <c r="M27" s="19">
        <v>46076</v>
      </c>
      <c r="N27" s="23">
        <v>46076</v>
      </c>
      <c r="O27" s="19">
        <v>46077</v>
      </c>
      <c r="P27" s="20">
        <v>46077</v>
      </c>
      <c r="Q27" s="19">
        <v>46077</v>
      </c>
      <c r="R27" s="20">
        <v>46077</v>
      </c>
      <c r="S27" s="19">
        <v>46078</v>
      </c>
      <c r="T27" s="23">
        <v>46078</v>
      </c>
      <c r="U27" s="19">
        <v>46078</v>
      </c>
      <c r="V27" s="23">
        <v>46078</v>
      </c>
      <c r="W27" s="19">
        <v>46078</v>
      </c>
      <c r="X27" s="23">
        <v>46078</v>
      </c>
      <c r="Y27" s="19">
        <v>46081</v>
      </c>
      <c r="Z27" s="23">
        <v>46081</v>
      </c>
      <c r="AA27" s="19">
        <v>46111</v>
      </c>
      <c r="AB27" s="23">
        <v>46111</v>
      </c>
      <c r="AC27" s="19">
        <v>46112</v>
      </c>
      <c r="AD27" s="20">
        <v>46112</v>
      </c>
      <c r="AE27" s="19">
        <v>46112</v>
      </c>
      <c r="AF27" s="20">
        <v>46112</v>
      </c>
    </row>
    <row r="28" spans="2:32" s="1" customFormat="1" ht="15.95" customHeight="1" x14ac:dyDescent="0.25">
      <c r="B28" s="24">
        <v>53</v>
      </c>
      <c r="C28" s="15">
        <v>11</v>
      </c>
      <c r="D28" s="15" t="s">
        <v>29</v>
      </c>
      <c r="E28" s="16" t="s">
        <v>39</v>
      </c>
      <c r="F28" s="25" t="s">
        <v>28</v>
      </c>
      <c r="G28" s="18">
        <v>46073</v>
      </c>
      <c r="H28" s="19">
        <v>46046</v>
      </c>
      <c r="I28" s="20">
        <v>46046</v>
      </c>
      <c r="J28" s="21">
        <v>46076</v>
      </c>
      <c r="K28" s="20">
        <v>46076</v>
      </c>
      <c r="L28" s="22">
        <v>30</v>
      </c>
      <c r="M28" s="19">
        <v>46077</v>
      </c>
      <c r="N28" s="23">
        <v>46077</v>
      </c>
      <c r="O28" s="19">
        <v>46078</v>
      </c>
      <c r="P28" s="20">
        <v>46078</v>
      </c>
      <c r="Q28" s="19">
        <v>46079</v>
      </c>
      <c r="R28" s="20">
        <v>46079</v>
      </c>
      <c r="S28" s="19">
        <v>46080</v>
      </c>
      <c r="T28" s="23">
        <v>46080</v>
      </c>
      <c r="U28" s="19">
        <v>46080</v>
      </c>
      <c r="V28" s="23">
        <v>46080</v>
      </c>
      <c r="W28" s="19">
        <v>46080</v>
      </c>
      <c r="X28" s="23">
        <v>46080</v>
      </c>
      <c r="Y28" s="19">
        <v>46085</v>
      </c>
      <c r="Z28" s="23">
        <v>46085</v>
      </c>
      <c r="AA28" s="19">
        <v>46101</v>
      </c>
      <c r="AB28" s="23">
        <v>46101</v>
      </c>
      <c r="AC28" s="19">
        <v>46105</v>
      </c>
      <c r="AD28" s="20">
        <v>46105</v>
      </c>
      <c r="AE28" s="19">
        <v>46105</v>
      </c>
      <c r="AF28" s="20">
        <v>46105</v>
      </c>
    </row>
    <row r="29" spans="2:32" s="1" customFormat="1" ht="15.95" customHeight="1" x14ac:dyDescent="0.25">
      <c r="B29" s="24">
        <v>69</v>
      </c>
      <c r="C29" s="15">
        <v>11</v>
      </c>
      <c r="D29" s="15" t="s">
        <v>32</v>
      </c>
      <c r="E29" s="16" t="s">
        <v>39</v>
      </c>
      <c r="F29" s="25" t="s">
        <v>31</v>
      </c>
      <c r="G29" s="18">
        <v>46076</v>
      </c>
      <c r="H29" s="19">
        <v>46017</v>
      </c>
      <c r="I29" s="20">
        <v>46017</v>
      </c>
      <c r="J29" s="21">
        <v>46077</v>
      </c>
      <c r="K29" s="20">
        <v>46077</v>
      </c>
      <c r="L29" s="22">
        <v>60</v>
      </c>
      <c r="M29" s="19">
        <v>46078</v>
      </c>
      <c r="N29" s="23">
        <v>46078</v>
      </c>
      <c r="O29" s="19">
        <v>46079</v>
      </c>
      <c r="P29" s="20">
        <v>46079</v>
      </c>
      <c r="Q29" s="19">
        <v>46079</v>
      </c>
      <c r="R29" s="20">
        <v>46079</v>
      </c>
      <c r="S29" s="19">
        <v>46080</v>
      </c>
      <c r="T29" s="23">
        <v>46080</v>
      </c>
      <c r="U29" s="19">
        <v>46080</v>
      </c>
      <c r="V29" s="23">
        <v>46080</v>
      </c>
      <c r="W29" s="19">
        <v>46080</v>
      </c>
      <c r="X29" s="23">
        <v>46080</v>
      </c>
      <c r="Y29" s="19">
        <v>46084</v>
      </c>
      <c r="Z29" s="23">
        <v>46084</v>
      </c>
      <c r="AA29" s="19">
        <v>46113</v>
      </c>
      <c r="AB29" s="23">
        <v>46113</v>
      </c>
      <c r="AC29" s="19">
        <v>46118</v>
      </c>
      <c r="AD29" s="20">
        <v>46118</v>
      </c>
      <c r="AE29" s="19">
        <v>46118</v>
      </c>
      <c r="AF29" s="20">
        <v>46118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46058</v>
      </c>
      <c r="H30" s="19">
        <v>46029</v>
      </c>
      <c r="I30" s="20">
        <v>46029</v>
      </c>
      <c r="J30" s="21">
        <v>46059</v>
      </c>
      <c r="K30" s="20">
        <v>46059</v>
      </c>
      <c r="L30" s="22">
        <v>30</v>
      </c>
      <c r="M30" s="19">
        <v>46059</v>
      </c>
      <c r="N30" s="23">
        <v>46059</v>
      </c>
      <c r="O30" s="19">
        <v>46059</v>
      </c>
      <c r="P30" s="20">
        <v>46059</v>
      </c>
      <c r="Q30" s="19">
        <v>46059</v>
      </c>
      <c r="R30" s="20">
        <v>46059</v>
      </c>
      <c r="S30" s="19">
        <v>46059</v>
      </c>
      <c r="T30" s="20">
        <v>46059</v>
      </c>
      <c r="U30" s="19">
        <v>46059</v>
      </c>
      <c r="V30" s="20">
        <v>46059</v>
      </c>
      <c r="W30" s="19">
        <v>46059</v>
      </c>
      <c r="X30" s="20">
        <v>46059</v>
      </c>
      <c r="Y30" s="19">
        <v>46059</v>
      </c>
      <c r="Z30" s="20">
        <v>46059</v>
      </c>
      <c r="AA30" s="19">
        <v>46080</v>
      </c>
      <c r="AB30" s="20">
        <v>46080</v>
      </c>
      <c r="AC30" s="19">
        <v>46083</v>
      </c>
      <c r="AD30" s="20">
        <v>46083</v>
      </c>
      <c r="AE30" s="19">
        <v>46083</v>
      </c>
      <c r="AF30" s="20">
        <v>46083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46058</v>
      </c>
      <c r="H31" s="19">
        <v>46029</v>
      </c>
      <c r="I31" s="20">
        <v>46029</v>
      </c>
      <c r="J31" s="21">
        <v>46059</v>
      </c>
      <c r="K31" s="20">
        <v>46059</v>
      </c>
      <c r="L31" s="22">
        <v>30</v>
      </c>
      <c r="M31" s="19">
        <v>46059</v>
      </c>
      <c r="N31" s="23">
        <v>46059</v>
      </c>
      <c r="O31" s="19">
        <v>46059</v>
      </c>
      <c r="P31" s="20">
        <v>46059</v>
      </c>
      <c r="Q31" s="19">
        <v>46059</v>
      </c>
      <c r="R31" s="20">
        <v>46059</v>
      </c>
      <c r="S31" s="19">
        <v>46059</v>
      </c>
      <c r="T31" s="20">
        <v>46059</v>
      </c>
      <c r="U31" s="19">
        <v>46059</v>
      </c>
      <c r="V31" s="20">
        <v>46059</v>
      </c>
      <c r="W31" s="19">
        <v>46059</v>
      </c>
      <c r="X31" s="20">
        <v>46059</v>
      </c>
      <c r="Y31" s="19">
        <v>46059</v>
      </c>
      <c r="Z31" s="20">
        <v>46059</v>
      </c>
      <c r="AA31" s="19">
        <v>46080</v>
      </c>
      <c r="AB31" s="20">
        <v>46080</v>
      </c>
      <c r="AC31" s="19">
        <v>46083</v>
      </c>
      <c r="AD31" s="20">
        <v>46083</v>
      </c>
      <c r="AE31" s="19">
        <v>46083</v>
      </c>
      <c r="AF31" s="20">
        <v>46083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46058</v>
      </c>
      <c r="H32" s="19">
        <v>46029</v>
      </c>
      <c r="I32" s="20">
        <v>46029</v>
      </c>
      <c r="J32" s="21">
        <v>46059</v>
      </c>
      <c r="K32" s="20">
        <v>46059</v>
      </c>
      <c r="L32" s="22">
        <v>30</v>
      </c>
      <c r="M32" s="19">
        <v>46059</v>
      </c>
      <c r="N32" s="23">
        <v>46059</v>
      </c>
      <c r="O32" s="19">
        <v>46059</v>
      </c>
      <c r="P32" s="20">
        <v>46059</v>
      </c>
      <c r="Q32" s="19">
        <v>46059</v>
      </c>
      <c r="R32" s="20">
        <v>46059</v>
      </c>
      <c r="S32" s="19">
        <v>46059</v>
      </c>
      <c r="T32" s="20">
        <v>46059</v>
      </c>
      <c r="U32" s="19">
        <v>46059</v>
      </c>
      <c r="V32" s="20">
        <v>46059</v>
      </c>
      <c r="W32" s="19">
        <v>46059</v>
      </c>
      <c r="X32" s="20">
        <v>46059</v>
      </c>
      <c r="Y32" s="19">
        <v>46059</v>
      </c>
      <c r="Z32" s="20">
        <v>46059</v>
      </c>
      <c r="AA32" s="19">
        <v>46080</v>
      </c>
      <c r="AB32" s="20">
        <v>46080</v>
      </c>
      <c r="AC32" s="19">
        <v>46083</v>
      </c>
      <c r="AD32" s="20">
        <v>46083</v>
      </c>
      <c r="AE32" s="19">
        <v>46083</v>
      </c>
      <c r="AF32" s="20">
        <v>46083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46062</v>
      </c>
      <c r="H33" s="19">
        <v>46032</v>
      </c>
      <c r="I33" s="20">
        <v>46032</v>
      </c>
      <c r="J33" s="21">
        <v>46063</v>
      </c>
      <c r="K33" s="20">
        <v>46063</v>
      </c>
      <c r="L33" s="22">
        <v>31</v>
      </c>
      <c r="M33" s="19">
        <v>46063</v>
      </c>
      <c r="N33" s="23">
        <v>46063</v>
      </c>
      <c r="O33" s="19">
        <v>46063</v>
      </c>
      <c r="P33" s="20">
        <v>46063</v>
      </c>
      <c r="Q33" s="19">
        <v>46063</v>
      </c>
      <c r="R33" s="20">
        <v>46063</v>
      </c>
      <c r="S33" s="19">
        <v>46063</v>
      </c>
      <c r="T33" s="20">
        <v>46063</v>
      </c>
      <c r="U33" s="19">
        <v>46063</v>
      </c>
      <c r="V33" s="20">
        <v>46063</v>
      </c>
      <c r="W33" s="19">
        <v>46063</v>
      </c>
      <c r="X33" s="20">
        <v>46063</v>
      </c>
      <c r="Y33" s="19">
        <v>46063</v>
      </c>
      <c r="Z33" s="20">
        <v>46063</v>
      </c>
      <c r="AA33" s="19">
        <v>46070</v>
      </c>
      <c r="AB33" s="20">
        <v>46070</v>
      </c>
      <c r="AC33" s="19">
        <v>46071</v>
      </c>
      <c r="AD33" s="20">
        <v>46071</v>
      </c>
      <c r="AE33" s="19">
        <v>46071</v>
      </c>
      <c r="AF33" s="20">
        <v>46071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46062</v>
      </c>
      <c r="H34" s="19">
        <v>46032</v>
      </c>
      <c r="I34" s="20">
        <v>46032</v>
      </c>
      <c r="J34" s="21">
        <v>46063</v>
      </c>
      <c r="K34" s="20">
        <v>46063</v>
      </c>
      <c r="L34" s="22">
        <v>31</v>
      </c>
      <c r="M34" s="19">
        <v>46063</v>
      </c>
      <c r="N34" s="23">
        <v>46063</v>
      </c>
      <c r="O34" s="19">
        <v>46063</v>
      </c>
      <c r="P34" s="20">
        <v>46063</v>
      </c>
      <c r="Q34" s="19">
        <v>46063</v>
      </c>
      <c r="R34" s="20">
        <v>46063</v>
      </c>
      <c r="S34" s="19">
        <v>46063</v>
      </c>
      <c r="T34" s="20">
        <v>46063</v>
      </c>
      <c r="U34" s="19">
        <v>46063</v>
      </c>
      <c r="V34" s="20">
        <v>46063</v>
      </c>
      <c r="W34" s="19">
        <v>46063</v>
      </c>
      <c r="X34" s="20">
        <v>46063</v>
      </c>
      <c r="Y34" s="19">
        <v>46063</v>
      </c>
      <c r="Z34" s="20">
        <v>46063</v>
      </c>
      <c r="AA34" s="19">
        <v>46070</v>
      </c>
      <c r="AB34" s="20">
        <v>46070</v>
      </c>
      <c r="AC34" s="19">
        <v>46071</v>
      </c>
      <c r="AD34" s="20">
        <v>46071</v>
      </c>
      <c r="AE34" s="19">
        <v>46071</v>
      </c>
      <c r="AF34" s="20">
        <v>46071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46065</v>
      </c>
      <c r="H35" s="19">
        <v>46035</v>
      </c>
      <c r="I35" s="20">
        <v>46035</v>
      </c>
      <c r="J35" s="21">
        <v>46066</v>
      </c>
      <c r="K35" s="20">
        <v>46066</v>
      </c>
      <c r="L35" s="22">
        <v>31</v>
      </c>
      <c r="M35" s="19">
        <v>46066</v>
      </c>
      <c r="N35" s="23">
        <v>46066</v>
      </c>
      <c r="O35" s="19">
        <v>46066</v>
      </c>
      <c r="P35" s="20">
        <v>46066</v>
      </c>
      <c r="Q35" s="19">
        <v>46066</v>
      </c>
      <c r="R35" s="20">
        <v>46066</v>
      </c>
      <c r="S35" s="19">
        <v>46066</v>
      </c>
      <c r="T35" s="20">
        <v>46066</v>
      </c>
      <c r="U35" s="19">
        <v>46066</v>
      </c>
      <c r="V35" s="20">
        <v>46066</v>
      </c>
      <c r="W35" s="19">
        <v>46066</v>
      </c>
      <c r="X35" s="20">
        <v>46066</v>
      </c>
      <c r="Y35" s="19">
        <v>46066</v>
      </c>
      <c r="Z35" s="20">
        <v>46066</v>
      </c>
      <c r="AA35" s="19">
        <v>46083</v>
      </c>
      <c r="AB35" s="20">
        <v>46083</v>
      </c>
      <c r="AC35" s="19">
        <v>46084</v>
      </c>
      <c r="AD35" s="20">
        <v>46084</v>
      </c>
      <c r="AE35" s="19">
        <v>46084</v>
      </c>
      <c r="AF35" s="20">
        <v>46084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46065</v>
      </c>
      <c r="H36" s="19">
        <v>46035</v>
      </c>
      <c r="I36" s="20">
        <v>46035</v>
      </c>
      <c r="J36" s="21">
        <v>46066</v>
      </c>
      <c r="K36" s="20">
        <v>46066</v>
      </c>
      <c r="L36" s="22">
        <v>31</v>
      </c>
      <c r="M36" s="19">
        <v>46066</v>
      </c>
      <c r="N36" s="23">
        <v>46066</v>
      </c>
      <c r="O36" s="19">
        <v>46066</v>
      </c>
      <c r="P36" s="20">
        <v>46066</v>
      </c>
      <c r="Q36" s="19">
        <v>46066</v>
      </c>
      <c r="R36" s="20">
        <v>46066</v>
      </c>
      <c r="S36" s="19">
        <v>46066</v>
      </c>
      <c r="T36" s="20">
        <v>46066</v>
      </c>
      <c r="U36" s="19">
        <v>46066</v>
      </c>
      <c r="V36" s="20">
        <v>46066</v>
      </c>
      <c r="W36" s="19">
        <v>46066</v>
      </c>
      <c r="X36" s="20">
        <v>46066</v>
      </c>
      <c r="Y36" s="19">
        <v>46066</v>
      </c>
      <c r="Z36" s="20">
        <v>46066</v>
      </c>
      <c r="AA36" s="19">
        <v>46083</v>
      </c>
      <c r="AB36" s="20">
        <v>46083</v>
      </c>
      <c r="AC36" s="19">
        <v>46084</v>
      </c>
      <c r="AD36" s="20">
        <v>46084</v>
      </c>
      <c r="AE36" s="19">
        <v>46084</v>
      </c>
      <c r="AF36" s="20">
        <v>46084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46066</v>
      </c>
      <c r="H37" s="19">
        <v>46037</v>
      </c>
      <c r="I37" s="20">
        <v>46037</v>
      </c>
      <c r="J37" s="21">
        <v>46069</v>
      </c>
      <c r="K37" s="20">
        <v>46069</v>
      </c>
      <c r="L37" s="22">
        <v>32</v>
      </c>
      <c r="M37" s="19">
        <v>46069</v>
      </c>
      <c r="N37" s="23">
        <v>46069</v>
      </c>
      <c r="O37" s="19">
        <v>46069</v>
      </c>
      <c r="P37" s="20">
        <v>46069</v>
      </c>
      <c r="Q37" s="19">
        <v>46069</v>
      </c>
      <c r="R37" s="20">
        <v>46069</v>
      </c>
      <c r="S37" s="19">
        <v>46069</v>
      </c>
      <c r="T37" s="20">
        <v>46069</v>
      </c>
      <c r="U37" s="19">
        <v>46069</v>
      </c>
      <c r="V37" s="20">
        <v>46069</v>
      </c>
      <c r="W37" s="19">
        <v>46069</v>
      </c>
      <c r="X37" s="20">
        <v>46069</v>
      </c>
      <c r="Y37" s="19">
        <v>46069</v>
      </c>
      <c r="Z37" s="20">
        <v>46069</v>
      </c>
      <c r="AA37" s="19">
        <v>46076</v>
      </c>
      <c r="AB37" s="20">
        <v>46076</v>
      </c>
      <c r="AC37" s="19">
        <v>46077</v>
      </c>
      <c r="AD37" s="20">
        <v>46077</v>
      </c>
      <c r="AE37" s="19">
        <v>46077</v>
      </c>
      <c r="AF37" s="20">
        <v>46077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46066</v>
      </c>
      <c r="H38" s="19">
        <v>46037</v>
      </c>
      <c r="I38" s="20">
        <v>46037</v>
      </c>
      <c r="J38" s="21">
        <v>46069</v>
      </c>
      <c r="K38" s="20">
        <v>46069</v>
      </c>
      <c r="L38" s="22">
        <v>32</v>
      </c>
      <c r="M38" s="19">
        <v>46069</v>
      </c>
      <c r="N38" s="23">
        <v>46069</v>
      </c>
      <c r="O38" s="19">
        <v>46069</v>
      </c>
      <c r="P38" s="20">
        <v>46069</v>
      </c>
      <c r="Q38" s="19">
        <v>46069</v>
      </c>
      <c r="R38" s="20">
        <v>46069</v>
      </c>
      <c r="S38" s="19">
        <v>46069</v>
      </c>
      <c r="T38" s="20">
        <v>46069</v>
      </c>
      <c r="U38" s="19">
        <v>46069</v>
      </c>
      <c r="V38" s="20">
        <v>46069</v>
      </c>
      <c r="W38" s="19">
        <v>46069</v>
      </c>
      <c r="X38" s="20">
        <v>46069</v>
      </c>
      <c r="Y38" s="19">
        <v>46069</v>
      </c>
      <c r="Z38" s="20">
        <v>46069</v>
      </c>
      <c r="AA38" s="19">
        <v>46076</v>
      </c>
      <c r="AB38" s="20">
        <v>46076</v>
      </c>
      <c r="AC38" s="19">
        <v>46077</v>
      </c>
      <c r="AD38" s="20">
        <v>46077</v>
      </c>
      <c r="AE38" s="19">
        <v>46077</v>
      </c>
      <c r="AF38" s="20">
        <v>46077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46066</v>
      </c>
      <c r="H39" s="19">
        <v>46037</v>
      </c>
      <c r="I39" s="20">
        <v>46037</v>
      </c>
      <c r="J39" s="21">
        <v>46069</v>
      </c>
      <c r="K39" s="20">
        <v>46069</v>
      </c>
      <c r="L39" s="22">
        <v>32</v>
      </c>
      <c r="M39" s="19">
        <v>46069</v>
      </c>
      <c r="N39" s="23">
        <v>46069</v>
      </c>
      <c r="O39" s="19">
        <v>46069</v>
      </c>
      <c r="P39" s="20">
        <v>46069</v>
      </c>
      <c r="Q39" s="19">
        <v>46069</v>
      </c>
      <c r="R39" s="20">
        <v>46069</v>
      </c>
      <c r="S39" s="19">
        <v>46069</v>
      </c>
      <c r="T39" s="20">
        <v>46069</v>
      </c>
      <c r="U39" s="19">
        <v>46069</v>
      </c>
      <c r="V39" s="20">
        <v>46069</v>
      </c>
      <c r="W39" s="19">
        <v>46069</v>
      </c>
      <c r="X39" s="20">
        <v>46069</v>
      </c>
      <c r="Y39" s="19">
        <v>46069</v>
      </c>
      <c r="Z39" s="20">
        <v>46069</v>
      </c>
      <c r="AA39" s="19">
        <v>46091</v>
      </c>
      <c r="AB39" s="20">
        <v>46091</v>
      </c>
      <c r="AC39" s="19">
        <v>46092</v>
      </c>
      <c r="AD39" s="20">
        <v>46092</v>
      </c>
      <c r="AE39" s="19">
        <v>46092</v>
      </c>
      <c r="AF39" s="20">
        <v>46092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46069</v>
      </c>
      <c r="H40" s="19">
        <v>46038</v>
      </c>
      <c r="I40" s="20">
        <v>46038</v>
      </c>
      <c r="J40" s="21">
        <v>46070</v>
      </c>
      <c r="K40" s="20">
        <v>46070</v>
      </c>
      <c r="L40" s="22">
        <v>32</v>
      </c>
      <c r="M40" s="19">
        <v>46070</v>
      </c>
      <c r="N40" s="23">
        <v>46070</v>
      </c>
      <c r="O40" s="19">
        <v>46070</v>
      </c>
      <c r="P40" s="20">
        <v>46070</v>
      </c>
      <c r="Q40" s="19">
        <v>46070</v>
      </c>
      <c r="R40" s="20">
        <v>46070</v>
      </c>
      <c r="S40" s="19">
        <v>46070</v>
      </c>
      <c r="T40" s="20">
        <v>46070</v>
      </c>
      <c r="U40" s="19">
        <v>46070</v>
      </c>
      <c r="V40" s="20">
        <v>46070</v>
      </c>
      <c r="W40" s="19">
        <v>46070</v>
      </c>
      <c r="X40" s="20">
        <v>46070</v>
      </c>
      <c r="Y40" s="19">
        <v>46070</v>
      </c>
      <c r="Z40" s="20">
        <v>46070</v>
      </c>
      <c r="AA40" s="19">
        <v>46091</v>
      </c>
      <c r="AB40" s="20">
        <v>46091</v>
      </c>
      <c r="AC40" s="19">
        <v>46092</v>
      </c>
      <c r="AD40" s="20">
        <v>46092</v>
      </c>
      <c r="AE40" s="19">
        <v>46092</v>
      </c>
      <c r="AF40" s="20">
        <v>46092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26</v>
      </c>
      <c r="E41" s="32" t="s">
        <v>63</v>
      </c>
      <c r="F41" s="25" t="s">
        <v>28</v>
      </c>
      <c r="G41" s="18">
        <v>46072</v>
      </c>
      <c r="H41" s="19">
        <v>46044</v>
      </c>
      <c r="I41" s="20">
        <v>46044</v>
      </c>
      <c r="J41" s="21">
        <v>46073</v>
      </c>
      <c r="K41" s="20">
        <v>46073</v>
      </c>
      <c r="L41" s="22">
        <v>29</v>
      </c>
      <c r="M41" s="19">
        <v>46073</v>
      </c>
      <c r="N41" s="23">
        <v>46073</v>
      </c>
      <c r="O41" s="19">
        <v>46073</v>
      </c>
      <c r="P41" s="20">
        <v>46073</v>
      </c>
      <c r="Q41" s="19">
        <v>46073</v>
      </c>
      <c r="R41" s="20">
        <v>46073</v>
      </c>
      <c r="S41" s="19">
        <v>46073</v>
      </c>
      <c r="T41" s="20">
        <v>46073</v>
      </c>
      <c r="U41" s="19">
        <v>46073</v>
      </c>
      <c r="V41" s="20">
        <v>46073</v>
      </c>
      <c r="W41" s="19">
        <v>46073</v>
      </c>
      <c r="X41" s="20">
        <v>46073</v>
      </c>
      <c r="Y41" s="19">
        <v>46073</v>
      </c>
      <c r="Z41" s="20">
        <v>46073</v>
      </c>
      <c r="AA41" s="19">
        <v>46097</v>
      </c>
      <c r="AB41" s="20">
        <v>46097</v>
      </c>
      <c r="AC41" s="19">
        <v>46098</v>
      </c>
      <c r="AD41" s="20">
        <v>46098</v>
      </c>
      <c r="AE41" s="19">
        <v>46098</v>
      </c>
      <c r="AF41" s="20">
        <v>46098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46073</v>
      </c>
      <c r="H42" s="19">
        <v>46044</v>
      </c>
      <c r="I42" s="20">
        <v>46044</v>
      </c>
      <c r="J42" s="21">
        <v>46076</v>
      </c>
      <c r="K42" s="20">
        <v>46076</v>
      </c>
      <c r="L42" s="22">
        <v>32</v>
      </c>
      <c r="M42" s="19">
        <v>46076</v>
      </c>
      <c r="N42" s="23">
        <v>46076</v>
      </c>
      <c r="O42" s="19">
        <v>46076</v>
      </c>
      <c r="P42" s="20">
        <v>46076</v>
      </c>
      <c r="Q42" s="19">
        <v>46076</v>
      </c>
      <c r="R42" s="20">
        <v>46076</v>
      </c>
      <c r="S42" s="19">
        <v>46076</v>
      </c>
      <c r="T42" s="20">
        <v>46076</v>
      </c>
      <c r="U42" s="19">
        <v>46076</v>
      </c>
      <c r="V42" s="20">
        <v>46076</v>
      </c>
      <c r="W42" s="19">
        <v>46076</v>
      </c>
      <c r="X42" s="20">
        <v>46076</v>
      </c>
      <c r="Y42" s="19">
        <v>46076</v>
      </c>
      <c r="Z42" s="20">
        <v>46076</v>
      </c>
      <c r="AA42" s="19">
        <v>46101</v>
      </c>
      <c r="AB42" s="20">
        <v>46101</v>
      </c>
      <c r="AC42" s="19">
        <v>46105</v>
      </c>
      <c r="AD42" s="20">
        <v>46105</v>
      </c>
      <c r="AE42" s="19">
        <v>46105</v>
      </c>
      <c r="AF42" s="20">
        <v>46105</v>
      </c>
    </row>
    <row r="43" spans="2:32" s="1" customFormat="1" ht="15.95" customHeight="1" x14ac:dyDescent="0.25">
      <c r="B43" s="29">
        <v>95</v>
      </c>
      <c r="C43" s="30" t="s">
        <v>46</v>
      </c>
      <c r="D43" s="31" t="s">
        <v>60</v>
      </c>
      <c r="E43" s="32" t="s">
        <v>65</v>
      </c>
      <c r="F43" s="25" t="s">
        <v>28</v>
      </c>
      <c r="G43" s="18">
        <v>46078</v>
      </c>
      <c r="H43" s="19">
        <v>46051</v>
      </c>
      <c r="I43" s="20">
        <v>46051</v>
      </c>
      <c r="J43" s="21">
        <v>46079</v>
      </c>
      <c r="K43" s="20">
        <v>46079</v>
      </c>
      <c r="L43" s="22">
        <v>28</v>
      </c>
      <c r="M43" s="19">
        <v>46079</v>
      </c>
      <c r="N43" s="23">
        <v>46079</v>
      </c>
      <c r="O43" s="19">
        <v>46079</v>
      </c>
      <c r="P43" s="20">
        <v>46079</v>
      </c>
      <c r="Q43" s="19">
        <v>46079</v>
      </c>
      <c r="R43" s="20">
        <v>46079</v>
      </c>
      <c r="S43" s="19">
        <v>46079</v>
      </c>
      <c r="T43" s="20">
        <v>46079</v>
      </c>
      <c r="U43" s="19">
        <v>46079</v>
      </c>
      <c r="V43" s="20">
        <v>46079</v>
      </c>
      <c r="W43" s="19">
        <v>46079</v>
      </c>
      <c r="X43" s="20">
        <v>46079</v>
      </c>
      <c r="Y43" s="19">
        <v>46079</v>
      </c>
      <c r="Z43" s="20">
        <v>46079</v>
      </c>
      <c r="AA43" s="19">
        <v>46097</v>
      </c>
      <c r="AB43" s="20">
        <v>46097</v>
      </c>
      <c r="AC43" s="19">
        <v>46098</v>
      </c>
      <c r="AD43" s="20">
        <v>46098</v>
      </c>
      <c r="AE43" s="19">
        <v>46098</v>
      </c>
      <c r="AF43" s="20">
        <v>46098</v>
      </c>
    </row>
    <row r="44" spans="2:32" s="1" customFormat="1" ht="15.95" customHeight="1" x14ac:dyDescent="0.25">
      <c r="B44" s="29">
        <v>95</v>
      </c>
      <c r="C44" s="30" t="s">
        <v>49</v>
      </c>
      <c r="D44" s="31" t="s">
        <v>60</v>
      </c>
      <c r="E44" s="32" t="s">
        <v>65</v>
      </c>
      <c r="F44" s="25" t="s">
        <v>28</v>
      </c>
      <c r="G44" s="18">
        <v>46078</v>
      </c>
      <c r="H44" s="19">
        <v>46051</v>
      </c>
      <c r="I44" s="20">
        <v>46051</v>
      </c>
      <c r="J44" s="21">
        <v>46079</v>
      </c>
      <c r="K44" s="20">
        <v>46079</v>
      </c>
      <c r="L44" s="22">
        <v>28</v>
      </c>
      <c r="M44" s="19">
        <v>46079</v>
      </c>
      <c r="N44" s="23">
        <v>46079</v>
      </c>
      <c r="O44" s="19">
        <v>46079</v>
      </c>
      <c r="P44" s="20">
        <v>46079</v>
      </c>
      <c r="Q44" s="19">
        <v>46079</v>
      </c>
      <c r="R44" s="20">
        <v>46079</v>
      </c>
      <c r="S44" s="19">
        <v>46079</v>
      </c>
      <c r="T44" s="20">
        <v>46079</v>
      </c>
      <c r="U44" s="19">
        <v>46079</v>
      </c>
      <c r="V44" s="20">
        <v>46079</v>
      </c>
      <c r="W44" s="19">
        <v>46079</v>
      </c>
      <c r="X44" s="20">
        <v>46079</v>
      </c>
      <c r="Y44" s="19">
        <v>46079</v>
      </c>
      <c r="Z44" s="20">
        <v>46079</v>
      </c>
      <c r="AA44" s="19">
        <v>46097</v>
      </c>
      <c r="AB44" s="20">
        <v>46097</v>
      </c>
      <c r="AC44" s="19">
        <v>46098</v>
      </c>
      <c r="AD44" s="20">
        <v>46098</v>
      </c>
      <c r="AE44" s="19">
        <v>46098</v>
      </c>
      <c r="AF44" s="20">
        <v>46098</v>
      </c>
    </row>
    <row r="45" spans="2:32" s="1" customFormat="1" ht="15.95" customHeight="1" x14ac:dyDescent="0.25">
      <c r="B45" s="29">
        <v>95</v>
      </c>
      <c r="C45" s="30" t="s">
        <v>50</v>
      </c>
      <c r="D45" s="31" t="s">
        <v>60</v>
      </c>
      <c r="E45" s="32" t="s">
        <v>65</v>
      </c>
      <c r="F45" s="25" t="s">
        <v>28</v>
      </c>
      <c r="G45" s="18">
        <v>46078</v>
      </c>
      <c r="H45" s="19">
        <v>46051</v>
      </c>
      <c r="I45" s="20">
        <v>46051</v>
      </c>
      <c r="J45" s="21">
        <v>46079</v>
      </c>
      <c r="K45" s="20">
        <v>46079</v>
      </c>
      <c r="L45" s="22">
        <v>28</v>
      </c>
      <c r="M45" s="19">
        <v>46079</v>
      </c>
      <c r="N45" s="23">
        <v>46079</v>
      </c>
      <c r="O45" s="19">
        <v>46079</v>
      </c>
      <c r="P45" s="20">
        <v>46079</v>
      </c>
      <c r="Q45" s="19">
        <v>46079</v>
      </c>
      <c r="R45" s="20">
        <v>46079</v>
      </c>
      <c r="S45" s="19">
        <v>46079</v>
      </c>
      <c r="T45" s="20">
        <v>46079</v>
      </c>
      <c r="U45" s="19">
        <v>46079</v>
      </c>
      <c r="V45" s="20">
        <v>46079</v>
      </c>
      <c r="W45" s="19">
        <v>46079</v>
      </c>
      <c r="X45" s="20">
        <v>46079</v>
      </c>
      <c r="Y45" s="19">
        <v>46079</v>
      </c>
      <c r="Z45" s="20">
        <v>46079</v>
      </c>
      <c r="AA45" s="19">
        <v>46097</v>
      </c>
      <c r="AB45" s="20">
        <v>46097</v>
      </c>
      <c r="AC45" s="19">
        <v>46098</v>
      </c>
      <c r="AD45" s="20">
        <v>46098</v>
      </c>
      <c r="AE45" s="19">
        <v>46098</v>
      </c>
      <c r="AF45" s="20">
        <v>46098</v>
      </c>
    </row>
    <row r="46" spans="2:32" s="1" customFormat="1" ht="15.95" customHeight="1" x14ac:dyDescent="0.25">
      <c r="B46" s="29">
        <v>77</v>
      </c>
      <c r="C46" s="30" t="s">
        <v>46</v>
      </c>
      <c r="D46" s="31" t="s">
        <v>47</v>
      </c>
      <c r="E46" s="32" t="s">
        <v>66</v>
      </c>
      <c r="F46" s="25" t="s">
        <v>28</v>
      </c>
      <c r="G46" s="18">
        <v>46079</v>
      </c>
      <c r="H46" s="19">
        <v>46052</v>
      </c>
      <c r="I46" s="20">
        <v>46052</v>
      </c>
      <c r="J46" s="21">
        <v>46080</v>
      </c>
      <c r="K46" s="20">
        <v>46080</v>
      </c>
      <c r="L46" s="22">
        <v>28</v>
      </c>
      <c r="M46" s="19">
        <v>46080</v>
      </c>
      <c r="N46" s="23">
        <v>46080</v>
      </c>
      <c r="O46" s="19">
        <v>46080</v>
      </c>
      <c r="P46" s="20">
        <v>46080</v>
      </c>
      <c r="Q46" s="19">
        <v>46080</v>
      </c>
      <c r="R46" s="20">
        <v>46080</v>
      </c>
      <c r="S46" s="19">
        <v>46080</v>
      </c>
      <c r="T46" s="20">
        <v>46080</v>
      </c>
      <c r="U46" s="19">
        <v>46080</v>
      </c>
      <c r="V46" s="20">
        <v>46080</v>
      </c>
      <c r="W46" s="19">
        <v>46080</v>
      </c>
      <c r="X46" s="20">
        <v>46080</v>
      </c>
      <c r="Y46" s="19">
        <v>46080</v>
      </c>
      <c r="Z46" s="20">
        <v>46080</v>
      </c>
      <c r="AA46" s="19">
        <v>46101</v>
      </c>
      <c r="AB46" s="20">
        <v>46101</v>
      </c>
      <c r="AC46" s="19">
        <v>46105</v>
      </c>
      <c r="AD46" s="20">
        <v>46105</v>
      </c>
      <c r="AE46" s="19">
        <v>46105</v>
      </c>
      <c r="AF46" s="20">
        <v>46105</v>
      </c>
    </row>
    <row r="47" spans="2:32" s="1" customFormat="1" ht="15.95" customHeight="1" x14ac:dyDescent="0.25">
      <c r="B47" s="29">
        <v>77</v>
      </c>
      <c r="C47" s="30" t="s">
        <v>49</v>
      </c>
      <c r="D47" s="31" t="s">
        <v>47</v>
      </c>
      <c r="E47" s="32" t="s">
        <v>66</v>
      </c>
      <c r="F47" s="25" t="s">
        <v>28</v>
      </c>
      <c r="G47" s="18">
        <v>46079</v>
      </c>
      <c r="H47" s="19">
        <v>46052</v>
      </c>
      <c r="I47" s="20">
        <v>46052</v>
      </c>
      <c r="J47" s="21">
        <v>46080</v>
      </c>
      <c r="K47" s="20">
        <v>46080</v>
      </c>
      <c r="L47" s="22">
        <v>28</v>
      </c>
      <c r="M47" s="19">
        <v>46080</v>
      </c>
      <c r="N47" s="23">
        <v>46080</v>
      </c>
      <c r="O47" s="19">
        <v>46080</v>
      </c>
      <c r="P47" s="20">
        <v>46080</v>
      </c>
      <c r="Q47" s="19">
        <v>46080</v>
      </c>
      <c r="R47" s="20">
        <v>46080</v>
      </c>
      <c r="S47" s="19">
        <v>46080</v>
      </c>
      <c r="T47" s="20">
        <v>46080</v>
      </c>
      <c r="U47" s="19">
        <v>46080</v>
      </c>
      <c r="V47" s="20">
        <v>46080</v>
      </c>
      <c r="W47" s="19">
        <v>46080</v>
      </c>
      <c r="X47" s="20">
        <v>46080</v>
      </c>
      <c r="Y47" s="19">
        <v>46080</v>
      </c>
      <c r="Z47" s="20">
        <v>46080</v>
      </c>
      <c r="AA47" s="19">
        <v>46101</v>
      </c>
      <c r="AB47" s="20">
        <v>46101</v>
      </c>
      <c r="AC47" s="19">
        <v>46105</v>
      </c>
      <c r="AD47" s="20">
        <v>46105</v>
      </c>
      <c r="AE47" s="19">
        <v>46105</v>
      </c>
      <c r="AF47" s="20">
        <v>46105</v>
      </c>
    </row>
    <row r="48" spans="2:32" s="1" customFormat="1" ht="15.95" customHeight="1" x14ac:dyDescent="0.25">
      <c r="B48" s="29">
        <v>77</v>
      </c>
      <c r="C48" s="30" t="s">
        <v>50</v>
      </c>
      <c r="D48" s="31" t="s">
        <v>47</v>
      </c>
      <c r="E48" s="32" t="s">
        <v>66</v>
      </c>
      <c r="F48" s="25" t="s">
        <v>28</v>
      </c>
      <c r="G48" s="18">
        <v>46079</v>
      </c>
      <c r="H48" s="19">
        <v>46052</v>
      </c>
      <c r="I48" s="20">
        <v>46052</v>
      </c>
      <c r="J48" s="21">
        <v>46080</v>
      </c>
      <c r="K48" s="20">
        <v>46080</v>
      </c>
      <c r="L48" s="22">
        <v>28</v>
      </c>
      <c r="M48" s="19">
        <v>46080</v>
      </c>
      <c r="N48" s="23">
        <v>46080</v>
      </c>
      <c r="O48" s="19">
        <v>46080</v>
      </c>
      <c r="P48" s="20">
        <v>46080</v>
      </c>
      <c r="Q48" s="19">
        <v>46080</v>
      </c>
      <c r="R48" s="20">
        <v>46080</v>
      </c>
      <c r="S48" s="19">
        <v>46080</v>
      </c>
      <c r="T48" s="20">
        <v>46080</v>
      </c>
      <c r="U48" s="19">
        <v>46080</v>
      </c>
      <c r="V48" s="20">
        <v>46080</v>
      </c>
      <c r="W48" s="19">
        <v>46080</v>
      </c>
      <c r="X48" s="20">
        <v>46080</v>
      </c>
      <c r="Y48" s="19">
        <v>46080</v>
      </c>
      <c r="Z48" s="20">
        <v>46080</v>
      </c>
      <c r="AA48" s="19">
        <v>46101</v>
      </c>
      <c r="AB48" s="20">
        <v>46101</v>
      </c>
      <c r="AC48" s="19">
        <v>46105</v>
      </c>
      <c r="AD48" s="20">
        <v>46105</v>
      </c>
      <c r="AE48" s="19">
        <v>46105</v>
      </c>
      <c r="AF48" s="20">
        <v>46105</v>
      </c>
    </row>
    <row r="49" spans="2:32" s="1" customFormat="1" ht="15.95" customHeight="1" x14ac:dyDescent="0.25">
      <c r="B49" s="33"/>
      <c r="C49" s="33"/>
      <c r="D49" s="33"/>
      <c r="E49" s="33"/>
      <c r="F49" s="34"/>
      <c r="G49" s="34"/>
      <c r="H49" s="35"/>
      <c r="I49" s="36"/>
      <c r="J49" s="35"/>
      <c r="K49" s="36"/>
      <c r="L49" s="37"/>
      <c r="M49" s="35"/>
      <c r="N49" s="36"/>
      <c r="O49" s="36"/>
      <c r="P49" s="36"/>
      <c r="Q49" s="36"/>
      <c r="R49" s="36"/>
      <c r="S49" s="35"/>
      <c r="T49" s="36"/>
      <c r="U49" s="35"/>
      <c r="V49" s="36"/>
      <c r="W49" s="35"/>
      <c r="X49" s="36"/>
      <c r="Y49" s="35"/>
      <c r="Z49" s="36"/>
      <c r="AA49" s="35"/>
      <c r="AB49" s="36"/>
      <c r="AC49" s="35"/>
      <c r="AD49" s="36"/>
      <c r="AE49" s="35"/>
      <c r="AF49" s="36"/>
    </row>
    <row r="50" spans="2:32" s="1" customFormat="1" ht="15.95" customHeight="1" thickBot="1" x14ac:dyDescent="0.3">
      <c r="B50" s="33"/>
      <c r="C50" s="33"/>
      <c r="D50" s="33"/>
      <c r="E50" s="33"/>
      <c r="F50" s="34"/>
      <c r="G50" s="34"/>
      <c r="H50" s="35"/>
      <c r="I50" s="36"/>
      <c r="J50" s="35"/>
      <c r="K50" s="36"/>
      <c r="L50" s="37"/>
      <c r="M50" s="35"/>
      <c r="N50" s="36"/>
      <c r="O50" s="36"/>
      <c r="P50" s="36"/>
      <c r="Q50" s="36"/>
      <c r="R50" s="36"/>
      <c r="S50" s="35"/>
      <c r="T50" s="36"/>
      <c r="U50" s="35"/>
      <c r="V50" s="36"/>
      <c r="W50" s="35"/>
      <c r="X50" s="36"/>
      <c r="Y50" s="35"/>
      <c r="Z50" s="36"/>
      <c r="AA50" s="35"/>
      <c r="AB50" s="36"/>
      <c r="AC50" s="35"/>
      <c r="AD50" s="36"/>
      <c r="AE50" s="35"/>
      <c r="AF50" s="36"/>
    </row>
    <row r="51" spans="2:32" ht="15.75" hidden="1" thickBot="1" x14ac:dyDescent="0.3"/>
    <row r="52" spans="2:32" ht="15.75" hidden="1" thickBot="1" x14ac:dyDescent="0.3"/>
    <row r="53" spans="2:32" ht="30" customHeight="1" thickBot="1" x14ac:dyDescent="0.3">
      <c r="B53" s="72" t="s">
        <v>67</v>
      </c>
      <c r="C53" s="73"/>
      <c r="D53" s="73"/>
      <c r="E53" s="74"/>
      <c r="F53" s="74"/>
      <c r="G53" s="74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6"/>
    </row>
    <row r="54" spans="2:32" ht="26.25" customHeight="1" thickTop="1" thickBot="1" x14ac:dyDescent="0.3">
      <c r="B54" s="77"/>
      <c r="C54" s="78"/>
      <c r="D54" s="78"/>
      <c r="E54" s="78"/>
      <c r="F54" s="78"/>
      <c r="G54" s="78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80"/>
    </row>
    <row r="55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3:AF54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L7:L50 P49:Q50">
    <cfRule type="expression" dxfId="44" priority="3" stopIfTrue="1">
      <formula>IF(J7="",TRUE,FALSE)</formula>
    </cfRule>
  </conditionalFormatting>
  <conditionalFormatting sqref="L7:L50">
    <cfRule type="expression" dxfId="43" priority="2" stopIfTrue="1">
      <formula>IF(F7="Mensual",OR(L7&gt;32,L7&lt;28), IF(F7="Bimestral",OR(L7&gt;62,L7&lt;58),IF(F7="Trimestral",OR(L7&gt;96,L7&lt;84),FALSE)))</formula>
    </cfRule>
  </conditionalFormatting>
  <conditionalFormatting sqref="N7:N48 P7:P48 I7:I50 K7:K50 T7:T50 V7:V50 X7:X50 Z7:Z50 AB7:AB50 AD7:AD50 AF7:AF50 N49:O50">
    <cfRule type="expression" dxfId="42" priority="4" stopIfTrue="1">
      <formula>IF(H7="",TRUE,FALSE)</formula>
    </cfRule>
  </conditionalFormatting>
  <conditionalFormatting sqref="R7:R48">
    <cfRule type="expression" dxfId="41" priority="1" stopIfTrue="1">
      <formula>IF(Q7="",TRUE,FALSE)</formula>
    </cfRule>
  </conditionalFormatting>
  <conditionalFormatting sqref="R49:R50">
    <cfRule type="expression" dxfId="40" priority="5" stopIfTrue="1">
      <formula>IF(O49="",TRUE,FALSE)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69B7A-59AE-4535-9346-88522C9C57D3}">
  <dimension ref="B1:AL62"/>
  <sheetViews>
    <sheetView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2" width="10.140625" customWidth="1"/>
    <col min="3" max="3" width="12.7109375" customWidth="1"/>
    <col min="4" max="4" width="27.140625" customWidth="1"/>
    <col min="5" max="5" width="34.7109375" customWidth="1"/>
    <col min="6" max="7" width="13.28515625" customWidth="1"/>
    <col min="8" max="11" width="7.140625" customWidth="1"/>
    <col min="12" max="12" width="19.140625" customWidth="1"/>
    <col min="13" max="13" width="11.85546875" customWidth="1"/>
    <col min="14" max="16" width="12" customWidth="1"/>
    <col min="17" max="17" width="14.85546875" customWidth="1"/>
    <col min="18" max="18" width="12" customWidth="1"/>
    <col min="19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8" width="10.140625" customWidth="1"/>
    <col min="259" max="259" width="12.7109375" customWidth="1"/>
    <col min="260" max="260" width="27.140625" customWidth="1"/>
    <col min="261" max="261" width="34.710937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4" width="10.140625" customWidth="1"/>
    <col min="515" max="515" width="12.7109375" customWidth="1"/>
    <col min="516" max="516" width="27.140625" customWidth="1"/>
    <col min="517" max="517" width="34.710937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0" width="10.140625" customWidth="1"/>
    <col min="771" max="771" width="12.7109375" customWidth="1"/>
    <col min="772" max="772" width="27.140625" customWidth="1"/>
    <col min="773" max="773" width="34.710937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6" width="10.140625" customWidth="1"/>
    <col min="1027" max="1027" width="12.7109375" customWidth="1"/>
    <col min="1028" max="1028" width="27.140625" customWidth="1"/>
    <col min="1029" max="1029" width="34.710937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2" width="10.140625" customWidth="1"/>
    <col min="1283" max="1283" width="12.7109375" customWidth="1"/>
    <col min="1284" max="1284" width="27.140625" customWidth="1"/>
    <col min="1285" max="1285" width="34.710937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8" width="10.140625" customWidth="1"/>
    <col min="1539" max="1539" width="12.7109375" customWidth="1"/>
    <col min="1540" max="1540" width="27.140625" customWidth="1"/>
    <col min="1541" max="1541" width="34.710937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4" width="10.140625" customWidth="1"/>
    <col min="1795" max="1795" width="12.7109375" customWidth="1"/>
    <col min="1796" max="1796" width="27.140625" customWidth="1"/>
    <col min="1797" max="1797" width="34.710937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0" width="10.140625" customWidth="1"/>
    <col min="2051" max="2051" width="12.7109375" customWidth="1"/>
    <col min="2052" max="2052" width="27.140625" customWidth="1"/>
    <col min="2053" max="2053" width="34.710937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6" width="10.140625" customWidth="1"/>
    <col min="2307" max="2307" width="12.7109375" customWidth="1"/>
    <col min="2308" max="2308" width="27.140625" customWidth="1"/>
    <col min="2309" max="2309" width="34.710937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2" width="10.140625" customWidth="1"/>
    <col min="2563" max="2563" width="12.7109375" customWidth="1"/>
    <col min="2564" max="2564" width="27.140625" customWidth="1"/>
    <col min="2565" max="2565" width="34.710937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8" width="10.140625" customWidth="1"/>
    <col min="2819" max="2819" width="12.7109375" customWidth="1"/>
    <col min="2820" max="2820" width="27.140625" customWidth="1"/>
    <col min="2821" max="2821" width="34.710937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4" width="10.140625" customWidth="1"/>
    <col min="3075" max="3075" width="12.7109375" customWidth="1"/>
    <col min="3076" max="3076" width="27.140625" customWidth="1"/>
    <col min="3077" max="3077" width="34.710937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0" width="10.140625" customWidth="1"/>
    <col min="3331" max="3331" width="12.7109375" customWidth="1"/>
    <col min="3332" max="3332" width="27.140625" customWidth="1"/>
    <col min="3333" max="3333" width="34.710937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6" width="10.140625" customWidth="1"/>
    <col min="3587" max="3587" width="12.7109375" customWidth="1"/>
    <col min="3588" max="3588" width="27.140625" customWidth="1"/>
    <col min="3589" max="3589" width="34.710937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2" width="10.140625" customWidth="1"/>
    <col min="3843" max="3843" width="12.7109375" customWidth="1"/>
    <col min="3844" max="3844" width="27.140625" customWidth="1"/>
    <col min="3845" max="3845" width="34.710937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8" width="10.140625" customWidth="1"/>
    <col min="4099" max="4099" width="12.7109375" customWidth="1"/>
    <col min="4100" max="4100" width="27.140625" customWidth="1"/>
    <col min="4101" max="4101" width="34.710937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4" width="10.140625" customWidth="1"/>
    <col min="4355" max="4355" width="12.7109375" customWidth="1"/>
    <col min="4356" max="4356" width="27.140625" customWidth="1"/>
    <col min="4357" max="4357" width="34.710937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0" width="10.140625" customWidth="1"/>
    <col min="4611" max="4611" width="12.7109375" customWidth="1"/>
    <col min="4612" max="4612" width="27.140625" customWidth="1"/>
    <col min="4613" max="4613" width="34.710937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6" width="10.140625" customWidth="1"/>
    <col min="4867" max="4867" width="12.7109375" customWidth="1"/>
    <col min="4868" max="4868" width="27.140625" customWidth="1"/>
    <col min="4869" max="4869" width="34.710937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2" width="10.140625" customWidth="1"/>
    <col min="5123" max="5123" width="12.7109375" customWidth="1"/>
    <col min="5124" max="5124" width="27.140625" customWidth="1"/>
    <col min="5125" max="5125" width="34.710937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8" width="10.140625" customWidth="1"/>
    <col min="5379" max="5379" width="12.7109375" customWidth="1"/>
    <col min="5380" max="5380" width="27.140625" customWidth="1"/>
    <col min="5381" max="5381" width="34.710937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4" width="10.140625" customWidth="1"/>
    <col min="5635" max="5635" width="12.7109375" customWidth="1"/>
    <col min="5636" max="5636" width="27.140625" customWidth="1"/>
    <col min="5637" max="5637" width="34.710937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0" width="10.140625" customWidth="1"/>
    <col min="5891" max="5891" width="12.7109375" customWidth="1"/>
    <col min="5892" max="5892" width="27.140625" customWidth="1"/>
    <col min="5893" max="5893" width="34.710937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6" width="10.140625" customWidth="1"/>
    <col min="6147" max="6147" width="12.7109375" customWidth="1"/>
    <col min="6148" max="6148" width="27.140625" customWidth="1"/>
    <col min="6149" max="6149" width="34.710937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2" width="10.140625" customWidth="1"/>
    <col min="6403" max="6403" width="12.7109375" customWidth="1"/>
    <col min="6404" max="6404" width="27.140625" customWidth="1"/>
    <col min="6405" max="6405" width="34.710937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8" width="10.140625" customWidth="1"/>
    <col min="6659" max="6659" width="12.7109375" customWidth="1"/>
    <col min="6660" max="6660" width="27.140625" customWidth="1"/>
    <col min="6661" max="6661" width="34.710937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4" width="10.140625" customWidth="1"/>
    <col min="6915" max="6915" width="12.7109375" customWidth="1"/>
    <col min="6916" max="6916" width="27.140625" customWidth="1"/>
    <col min="6917" max="6917" width="34.710937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0" width="10.140625" customWidth="1"/>
    <col min="7171" max="7171" width="12.7109375" customWidth="1"/>
    <col min="7172" max="7172" width="27.140625" customWidth="1"/>
    <col min="7173" max="7173" width="34.710937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6" width="10.140625" customWidth="1"/>
    <col min="7427" max="7427" width="12.7109375" customWidth="1"/>
    <col min="7428" max="7428" width="27.140625" customWidth="1"/>
    <col min="7429" max="7429" width="34.710937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2" width="10.140625" customWidth="1"/>
    <col min="7683" max="7683" width="12.7109375" customWidth="1"/>
    <col min="7684" max="7684" width="27.140625" customWidth="1"/>
    <col min="7685" max="7685" width="34.710937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8" width="10.140625" customWidth="1"/>
    <col min="7939" max="7939" width="12.7109375" customWidth="1"/>
    <col min="7940" max="7940" width="27.140625" customWidth="1"/>
    <col min="7941" max="7941" width="34.710937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4" width="10.140625" customWidth="1"/>
    <col min="8195" max="8195" width="12.7109375" customWidth="1"/>
    <col min="8196" max="8196" width="27.140625" customWidth="1"/>
    <col min="8197" max="8197" width="34.710937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0" width="10.140625" customWidth="1"/>
    <col min="8451" max="8451" width="12.7109375" customWidth="1"/>
    <col min="8452" max="8452" width="27.140625" customWidth="1"/>
    <col min="8453" max="8453" width="34.710937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6" width="10.140625" customWidth="1"/>
    <col min="8707" max="8707" width="12.7109375" customWidth="1"/>
    <col min="8708" max="8708" width="27.140625" customWidth="1"/>
    <col min="8709" max="8709" width="34.710937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2" width="10.140625" customWidth="1"/>
    <col min="8963" max="8963" width="12.7109375" customWidth="1"/>
    <col min="8964" max="8964" width="27.140625" customWidth="1"/>
    <col min="8965" max="8965" width="34.710937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8" width="10.140625" customWidth="1"/>
    <col min="9219" max="9219" width="12.7109375" customWidth="1"/>
    <col min="9220" max="9220" width="27.140625" customWidth="1"/>
    <col min="9221" max="9221" width="34.710937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4" width="10.140625" customWidth="1"/>
    <col min="9475" max="9475" width="12.7109375" customWidth="1"/>
    <col min="9476" max="9476" width="27.140625" customWidth="1"/>
    <col min="9477" max="9477" width="34.710937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0" width="10.140625" customWidth="1"/>
    <col min="9731" max="9731" width="12.7109375" customWidth="1"/>
    <col min="9732" max="9732" width="27.140625" customWidth="1"/>
    <col min="9733" max="9733" width="34.710937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6" width="10.140625" customWidth="1"/>
    <col min="9987" max="9987" width="12.7109375" customWidth="1"/>
    <col min="9988" max="9988" width="27.140625" customWidth="1"/>
    <col min="9989" max="9989" width="34.710937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2" width="10.140625" customWidth="1"/>
    <col min="10243" max="10243" width="12.7109375" customWidth="1"/>
    <col min="10244" max="10244" width="27.140625" customWidth="1"/>
    <col min="10245" max="10245" width="34.710937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8" width="10.140625" customWidth="1"/>
    <col min="10499" max="10499" width="12.7109375" customWidth="1"/>
    <col min="10500" max="10500" width="27.140625" customWidth="1"/>
    <col min="10501" max="10501" width="34.710937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4" width="10.140625" customWidth="1"/>
    <col min="10755" max="10755" width="12.7109375" customWidth="1"/>
    <col min="10756" max="10756" width="27.140625" customWidth="1"/>
    <col min="10757" max="10757" width="34.710937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0" width="10.140625" customWidth="1"/>
    <col min="11011" max="11011" width="12.7109375" customWidth="1"/>
    <col min="11012" max="11012" width="27.140625" customWidth="1"/>
    <col min="11013" max="11013" width="34.710937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6" width="10.140625" customWidth="1"/>
    <col min="11267" max="11267" width="12.7109375" customWidth="1"/>
    <col min="11268" max="11268" width="27.140625" customWidth="1"/>
    <col min="11269" max="11269" width="34.710937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2" width="10.140625" customWidth="1"/>
    <col min="11523" max="11523" width="12.7109375" customWidth="1"/>
    <col min="11524" max="11524" width="27.140625" customWidth="1"/>
    <col min="11525" max="11525" width="34.710937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8" width="10.140625" customWidth="1"/>
    <col min="11779" max="11779" width="12.7109375" customWidth="1"/>
    <col min="11780" max="11780" width="27.140625" customWidth="1"/>
    <col min="11781" max="11781" width="34.710937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4" width="10.140625" customWidth="1"/>
    <col min="12035" max="12035" width="12.7109375" customWidth="1"/>
    <col min="12036" max="12036" width="27.140625" customWidth="1"/>
    <col min="12037" max="12037" width="34.710937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0" width="10.140625" customWidth="1"/>
    <col min="12291" max="12291" width="12.7109375" customWidth="1"/>
    <col min="12292" max="12292" width="27.140625" customWidth="1"/>
    <col min="12293" max="12293" width="34.710937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6" width="10.140625" customWidth="1"/>
    <col min="12547" max="12547" width="12.7109375" customWidth="1"/>
    <col min="12548" max="12548" width="27.140625" customWidth="1"/>
    <col min="12549" max="12549" width="34.710937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2" width="10.140625" customWidth="1"/>
    <col min="12803" max="12803" width="12.7109375" customWidth="1"/>
    <col min="12804" max="12804" width="27.140625" customWidth="1"/>
    <col min="12805" max="12805" width="34.710937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8" width="10.140625" customWidth="1"/>
    <col min="13059" max="13059" width="12.7109375" customWidth="1"/>
    <col min="13060" max="13060" width="27.140625" customWidth="1"/>
    <col min="13061" max="13061" width="34.710937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4" width="10.140625" customWidth="1"/>
    <col min="13315" max="13315" width="12.7109375" customWidth="1"/>
    <col min="13316" max="13316" width="27.140625" customWidth="1"/>
    <col min="13317" max="13317" width="34.710937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0" width="10.140625" customWidth="1"/>
    <col min="13571" max="13571" width="12.7109375" customWidth="1"/>
    <col min="13572" max="13572" width="27.140625" customWidth="1"/>
    <col min="13573" max="13573" width="34.710937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6" width="10.140625" customWidth="1"/>
    <col min="13827" max="13827" width="12.7109375" customWidth="1"/>
    <col min="13828" max="13828" width="27.140625" customWidth="1"/>
    <col min="13829" max="13829" width="34.710937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2" width="10.140625" customWidth="1"/>
    <col min="14083" max="14083" width="12.7109375" customWidth="1"/>
    <col min="14084" max="14084" width="27.140625" customWidth="1"/>
    <col min="14085" max="14085" width="34.710937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8" width="10.140625" customWidth="1"/>
    <col min="14339" max="14339" width="12.7109375" customWidth="1"/>
    <col min="14340" max="14340" width="27.140625" customWidth="1"/>
    <col min="14341" max="14341" width="34.710937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4" width="10.140625" customWidth="1"/>
    <col min="14595" max="14595" width="12.7109375" customWidth="1"/>
    <col min="14596" max="14596" width="27.140625" customWidth="1"/>
    <col min="14597" max="14597" width="34.710937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0" width="10.140625" customWidth="1"/>
    <col min="14851" max="14851" width="12.7109375" customWidth="1"/>
    <col min="14852" max="14852" width="27.140625" customWidth="1"/>
    <col min="14853" max="14853" width="34.710937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6" width="10.140625" customWidth="1"/>
    <col min="15107" max="15107" width="12.7109375" customWidth="1"/>
    <col min="15108" max="15108" width="27.140625" customWidth="1"/>
    <col min="15109" max="15109" width="34.710937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2" width="10.140625" customWidth="1"/>
    <col min="15363" max="15363" width="12.7109375" customWidth="1"/>
    <col min="15364" max="15364" width="27.140625" customWidth="1"/>
    <col min="15365" max="15365" width="34.710937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8" width="10.140625" customWidth="1"/>
    <col min="15619" max="15619" width="12.7109375" customWidth="1"/>
    <col min="15620" max="15620" width="27.140625" customWidth="1"/>
    <col min="15621" max="15621" width="34.710937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4" width="10.140625" customWidth="1"/>
    <col min="15875" max="15875" width="12.7109375" customWidth="1"/>
    <col min="15876" max="15876" width="27.140625" customWidth="1"/>
    <col min="15877" max="15877" width="34.710937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0" width="10.140625" customWidth="1"/>
    <col min="16131" max="16131" width="12.7109375" customWidth="1"/>
    <col min="16132" max="16132" width="27.140625" customWidth="1"/>
    <col min="16133" max="16133" width="34.710937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3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5"/>
      <c r="K3" s="112" t="s">
        <v>2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103" t="s">
        <v>11</v>
      </c>
      <c r="P4" s="104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126" t="s">
        <v>16</v>
      </c>
      <c r="Z4" s="127"/>
      <c r="AA4" s="126" t="s">
        <v>17</v>
      </c>
      <c r="AB4" s="127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2" t="s">
        <v>21</v>
      </c>
      <c r="K5" s="125"/>
      <c r="L5" s="95" t="s">
        <v>22</v>
      </c>
      <c r="M5" s="87"/>
      <c r="N5" s="88"/>
      <c r="O5" s="105"/>
      <c r="P5" s="106"/>
      <c r="Q5" s="105"/>
      <c r="R5" s="106"/>
      <c r="S5" s="87"/>
      <c r="T5" s="88"/>
      <c r="U5" s="87"/>
      <c r="V5" s="88"/>
      <c r="W5" s="87"/>
      <c r="X5" s="88"/>
      <c r="Y5" s="128"/>
      <c r="Z5" s="129"/>
      <c r="AA5" s="128"/>
      <c r="AB5" s="129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9" t="s">
        <v>23</v>
      </c>
      <c r="K6" s="8" t="s">
        <v>24</v>
      </c>
      <c r="L6" s="96"/>
      <c r="M6" s="10" t="s">
        <v>23</v>
      </c>
      <c r="N6" s="11" t="s">
        <v>24</v>
      </c>
      <c r="O6" s="10" t="s">
        <v>23</v>
      </c>
      <c r="P6" s="11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38" t="s">
        <v>25</v>
      </c>
      <c r="Z6" s="39" t="s">
        <v>24</v>
      </c>
      <c r="AA6" s="38" t="s">
        <v>23</v>
      </c>
      <c r="AB6" s="39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1" customFormat="1" ht="15.95" customHeight="1" x14ac:dyDescent="0.25">
      <c r="B7" s="14">
        <v>7</v>
      </c>
      <c r="C7" s="15">
        <v>13</v>
      </c>
      <c r="D7" s="15" t="s">
        <v>68</v>
      </c>
      <c r="E7" s="16" t="s">
        <v>27</v>
      </c>
      <c r="F7" s="17" t="s">
        <v>28</v>
      </c>
      <c r="G7" s="18">
        <v>46084</v>
      </c>
      <c r="H7" s="19">
        <v>46056</v>
      </c>
      <c r="I7" s="20">
        <v>46056</v>
      </c>
      <c r="J7" s="21">
        <v>46085</v>
      </c>
      <c r="K7" s="20">
        <v>46085</v>
      </c>
      <c r="L7" s="22">
        <v>29</v>
      </c>
      <c r="M7" s="19">
        <v>46086</v>
      </c>
      <c r="N7" s="23">
        <v>46086</v>
      </c>
      <c r="O7" s="19">
        <v>46087</v>
      </c>
      <c r="P7" s="20">
        <v>46087</v>
      </c>
      <c r="Q7" s="19">
        <v>46087</v>
      </c>
      <c r="R7" s="20">
        <v>46087</v>
      </c>
      <c r="S7" s="19">
        <v>46090</v>
      </c>
      <c r="T7" s="23">
        <v>46090</v>
      </c>
      <c r="U7" s="19">
        <v>46090</v>
      </c>
      <c r="V7" s="23">
        <v>46090</v>
      </c>
      <c r="W7" s="19">
        <v>46091</v>
      </c>
      <c r="X7" s="23">
        <v>46091</v>
      </c>
      <c r="Y7" s="19">
        <v>46092</v>
      </c>
      <c r="Z7" s="23">
        <v>46092</v>
      </c>
      <c r="AA7" s="19">
        <v>46101</v>
      </c>
      <c r="AB7" s="23">
        <v>46101</v>
      </c>
      <c r="AC7" s="19">
        <v>46105</v>
      </c>
      <c r="AD7" s="20">
        <v>46105</v>
      </c>
      <c r="AE7" s="19">
        <v>46105</v>
      </c>
      <c r="AF7" s="20">
        <v>46105</v>
      </c>
      <c r="AL7" s="1" t="s">
        <v>28</v>
      </c>
    </row>
    <row r="8" spans="2:38" s="1" customFormat="1" ht="15.95" customHeight="1" x14ac:dyDescent="0.25">
      <c r="B8" s="24">
        <v>16</v>
      </c>
      <c r="C8" s="15">
        <v>11</v>
      </c>
      <c r="D8" s="15" t="s">
        <v>69</v>
      </c>
      <c r="E8" s="16" t="s">
        <v>33</v>
      </c>
      <c r="F8" s="25" t="s">
        <v>28</v>
      </c>
      <c r="G8" s="18">
        <v>46085</v>
      </c>
      <c r="H8" s="19">
        <v>46058</v>
      </c>
      <c r="I8" s="20">
        <v>46058</v>
      </c>
      <c r="J8" s="21">
        <v>46086</v>
      </c>
      <c r="K8" s="20">
        <v>46086</v>
      </c>
      <c r="L8" s="22">
        <v>28</v>
      </c>
      <c r="M8" s="19">
        <v>46087</v>
      </c>
      <c r="N8" s="23">
        <v>46087</v>
      </c>
      <c r="O8" s="19">
        <v>46088</v>
      </c>
      <c r="P8" s="20">
        <v>46088</v>
      </c>
      <c r="Q8" s="19">
        <v>46088</v>
      </c>
      <c r="R8" s="20">
        <v>46088</v>
      </c>
      <c r="S8" s="19">
        <v>46090</v>
      </c>
      <c r="T8" s="23">
        <v>46090</v>
      </c>
      <c r="U8" s="19">
        <v>46090</v>
      </c>
      <c r="V8" s="23">
        <v>46090</v>
      </c>
      <c r="W8" s="19">
        <v>46092</v>
      </c>
      <c r="X8" s="23">
        <v>46092</v>
      </c>
      <c r="Y8" s="19">
        <v>46093</v>
      </c>
      <c r="Z8" s="23">
        <v>46093</v>
      </c>
      <c r="AA8" s="19">
        <v>46105</v>
      </c>
      <c r="AB8" s="23">
        <v>46105</v>
      </c>
      <c r="AC8" s="19">
        <v>46106</v>
      </c>
      <c r="AD8" s="20">
        <v>46106</v>
      </c>
      <c r="AE8" s="19">
        <v>46106</v>
      </c>
      <c r="AF8" s="20">
        <v>46106</v>
      </c>
      <c r="AL8" s="1" t="s">
        <v>34</v>
      </c>
    </row>
    <row r="9" spans="2:38" s="1" customFormat="1" ht="15.95" customHeight="1" x14ac:dyDescent="0.25">
      <c r="B9" s="24">
        <v>5</v>
      </c>
      <c r="C9" s="15">
        <v>13</v>
      </c>
      <c r="D9" s="15" t="s">
        <v>70</v>
      </c>
      <c r="E9" s="16" t="s">
        <v>27</v>
      </c>
      <c r="F9" s="25" t="s">
        <v>28</v>
      </c>
      <c r="G9" s="18">
        <v>46086</v>
      </c>
      <c r="H9" s="19">
        <v>46059</v>
      </c>
      <c r="I9" s="26">
        <v>46059</v>
      </c>
      <c r="J9" s="16">
        <v>46087</v>
      </c>
      <c r="K9" s="20">
        <v>46087</v>
      </c>
      <c r="L9" s="22">
        <v>28</v>
      </c>
      <c r="M9" s="19">
        <v>46090</v>
      </c>
      <c r="N9" s="23">
        <v>46090</v>
      </c>
      <c r="O9" s="19">
        <v>46091</v>
      </c>
      <c r="P9" s="20">
        <v>46091</v>
      </c>
      <c r="Q9" s="19">
        <v>46091</v>
      </c>
      <c r="R9" s="20">
        <v>46091</v>
      </c>
      <c r="S9" s="19">
        <v>46092</v>
      </c>
      <c r="T9" s="23">
        <v>46092</v>
      </c>
      <c r="U9" s="19">
        <v>46092</v>
      </c>
      <c r="V9" s="23">
        <v>46092</v>
      </c>
      <c r="W9" s="19">
        <v>46094</v>
      </c>
      <c r="X9" s="23">
        <v>46094</v>
      </c>
      <c r="Y9" s="19">
        <v>46095</v>
      </c>
      <c r="Z9" s="23">
        <v>46095</v>
      </c>
      <c r="AA9" s="19">
        <v>46106</v>
      </c>
      <c r="AB9" s="23">
        <v>46106</v>
      </c>
      <c r="AC9" s="19">
        <v>46107</v>
      </c>
      <c r="AD9" s="20">
        <v>46107</v>
      </c>
      <c r="AE9" s="19">
        <v>46107</v>
      </c>
      <c r="AF9" s="20">
        <v>46107</v>
      </c>
    </row>
    <row r="10" spans="2:38" s="1" customFormat="1" ht="24.6" customHeight="1" x14ac:dyDescent="0.25">
      <c r="B10" s="24">
        <v>15</v>
      </c>
      <c r="C10" s="15">
        <v>13</v>
      </c>
      <c r="D10" s="15" t="s">
        <v>69</v>
      </c>
      <c r="E10" s="27" t="s">
        <v>35</v>
      </c>
      <c r="F10" s="25" t="s">
        <v>28</v>
      </c>
      <c r="G10" s="18">
        <v>46087</v>
      </c>
      <c r="H10" s="19">
        <v>46060</v>
      </c>
      <c r="I10" s="26">
        <v>46060</v>
      </c>
      <c r="J10" s="16">
        <v>46088</v>
      </c>
      <c r="K10" s="20">
        <v>46088</v>
      </c>
      <c r="L10" s="22">
        <v>28</v>
      </c>
      <c r="M10" s="19">
        <v>46090</v>
      </c>
      <c r="N10" s="23">
        <v>46090</v>
      </c>
      <c r="O10" s="19">
        <v>46091</v>
      </c>
      <c r="P10" s="20">
        <v>46091</v>
      </c>
      <c r="Q10" s="19">
        <v>46091</v>
      </c>
      <c r="R10" s="20">
        <v>46091</v>
      </c>
      <c r="S10" s="19">
        <v>46092</v>
      </c>
      <c r="T10" s="23">
        <v>46092</v>
      </c>
      <c r="U10" s="19">
        <v>46092</v>
      </c>
      <c r="V10" s="23">
        <v>46092</v>
      </c>
      <c r="W10" s="19">
        <v>46094</v>
      </c>
      <c r="X10" s="23">
        <v>46094</v>
      </c>
      <c r="Y10" s="19">
        <v>46095</v>
      </c>
      <c r="Z10" s="23">
        <v>46095</v>
      </c>
      <c r="AA10" s="19">
        <v>46106</v>
      </c>
      <c r="AB10" s="23">
        <v>46106</v>
      </c>
      <c r="AC10" s="19">
        <v>46107</v>
      </c>
      <c r="AD10" s="20">
        <v>46107</v>
      </c>
      <c r="AE10" s="19">
        <v>46107</v>
      </c>
      <c r="AF10" s="20">
        <v>46107</v>
      </c>
    </row>
    <row r="11" spans="2:38" s="1" customFormat="1" ht="15.95" customHeight="1" x14ac:dyDescent="0.25">
      <c r="B11" s="24">
        <v>21</v>
      </c>
      <c r="C11" s="15">
        <v>12</v>
      </c>
      <c r="D11" s="15" t="s">
        <v>68</v>
      </c>
      <c r="E11" s="16" t="s">
        <v>36</v>
      </c>
      <c r="F11" s="25" t="s">
        <v>28</v>
      </c>
      <c r="G11" s="18">
        <v>46087</v>
      </c>
      <c r="H11" s="19">
        <v>46062</v>
      </c>
      <c r="I11" s="26">
        <v>46062</v>
      </c>
      <c r="J11" s="16">
        <v>46090</v>
      </c>
      <c r="K11" s="20">
        <v>46090</v>
      </c>
      <c r="L11" s="22">
        <v>28</v>
      </c>
      <c r="M11" s="19">
        <v>46091</v>
      </c>
      <c r="N11" s="23">
        <v>46091</v>
      </c>
      <c r="O11" s="19">
        <v>46092</v>
      </c>
      <c r="P11" s="20">
        <v>46092</v>
      </c>
      <c r="Q11" s="19">
        <v>46092</v>
      </c>
      <c r="R11" s="20">
        <v>46092</v>
      </c>
      <c r="S11" s="19">
        <v>46093</v>
      </c>
      <c r="T11" s="23">
        <v>46093</v>
      </c>
      <c r="U11" s="19">
        <v>46093</v>
      </c>
      <c r="V11" s="23">
        <v>46093</v>
      </c>
      <c r="W11" s="19">
        <v>46095</v>
      </c>
      <c r="X11" s="23">
        <v>46095</v>
      </c>
      <c r="Y11" s="19">
        <v>46097</v>
      </c>
      <c r="Z11" s="23">
        <v>46097</v>
      </c>
      <c r="AA11" s="19">
        <v>46107</v>
      </c>
      <c r="AB11" s="23">
        <v>46107</v>
      </c>
      <c r="AC11" s="19">
        <v>46108</v>
      </c>
      <c r="AD11" s="20">
        <v>46108</v>
      </c>
      <c r="AE11" s="19">
        <v>46108</v>
      </c>
      <c r="AF11" s="20">
        <v>46108</v>
      </c>
    </row>
    <row r="12" spans="2:38" s="1" customFormat="1" ht="15.95" customHeight="1" x14ac:dyDescent="0.25">
      <c r="B12" s="24">
        <v>22</v>
      </c>
      <c r="C12" s="15">
        <v>12</v>
      </c>
      <c r="D12" s="15" t="s">
        <v>69</v>
      </c>
      <c r="E12" s="16" t="s">
        <v>37</v>
      </c>
      <c r="F12" s="25" t="s">
        <v>28</v>
      </c>
      <c r="G12" s="18">
        <v>46087</v>
      </c>
      <c r="H12" s="19">
        <v>46062</v>
      </c>
      <c r="I12" s="26">
        <v>46062</v>
      </c>
      <c r="J12" s="16">
        <v>46090</v>
      </c>
      <c r="K12" s="20">
        <v>46090</v>
      </c>
      <c r="L12" s="22">
        <v>28</v>
      </c>
      <c r="M12" s="19">
        <v>46091</v>
      </c>
      <c r="N12" s="23">
        <v>46091</v>
      </c>
      <c r="O12" s="19">
        <v>46092</v>
      </c>
      <c r="P12" s="20">
        <v>46092</v>
      </c>
      <c r="Q12" s="19">
        <v>46092</v>
      </c>
      <c r="R12" s="20">
        <v>46092</v>
      </c>
      <c r="S12" s="19">
        <v>46093</v>
      </c>
      <c r="T12" s="23">
        <v>46093</v>
      </c>
      <c r="U12" s="19">
        <v>46093</v>
      </c>
      <c r="V12" s="23">
        <v>46093</v>
      </c>
      <c r="W12" s="19">
        <v>46095</v>
      </c>
      <c r="X12" s="23">
        <v>46095</v>
      </c>
      <c r="Y12" s="19">
        <v>46097</v>
      </c>
      <c r="Z12" s="23">
        <v>46097</v>
      </c>
      <c r="AA12" s="19">
        <v>46107</v>
      </c>
      <c r="AB12" s="23">
        <v>46107</v>
      </c>
      <c r="AC12" s="19">
        <v>46108</v>
      </c>
      <c r="AD12" s="20">
        <v>46108</v>
      </c>
      <c r="AE12" s="19">
        <v>46108</v>
      </c>
      <c r="AF12" s="20">
        <v>46108</v>
      </c>
    </row>
    <row r="13" spans="2:38" s="1" customFormat="1" ht="15.95" customHeight="1" x14ac:dyDescent="0.25">
      <c r="B13" s="24">
        <v>39</v>
      </c>
      <c r="C13" s="15">
        <v>12</v>
      </c>
      <c r="D13" s="15" t="s">
        <v>70</v>
      </c>
      <c r="E13" s="16" t="s">
        <v>38</v>
      </c>
      <c r="F13" s="25" t="s">
        <v>28</v>
      </c>
      <c r="G13" s="18">
        <v>46087</v>
      </c>
      <c r="H13" s="19">
        <v>46062</v>
      </c>
      <c r="I13" s="26">
        <v>46062</v>
      </c>
      <c r="J13" s="16">
        <v>46090</v>
      </c>
      <c r="K13" s="20">
        <v>46090</v>
      </c>
      <c r="L13" s="22">
        <v>28</v>
      </c>
      <c r="M13" s="19">
        <v>46091</v>
      </c>
      <c r="N13" s="23">
        <v>46091</v>
      </c>
      <c r="O13" s="19">
        <v>46092</v>
      </c>
      <c r="P13" s="20">
        <v>46092</v>
      </c>
      <c r="Q13" s="19">
        <v>46092</v>
      </c>
      <c r="R13" s="20">
        <v>46092</v>
      </c>
      <c r="S13" s="19">
        <v>46093</v>
      </c>
      <c r="T13" s="23">
        <v>46093</v>
      </c>
      <c r="U13" s="19">
        <v>46093</v>
      </c>
      <c r="V13" s="23">
        <v>46093</v>
      </c>
      <c r="W13" s="19">
        <v>46095</v>
      </c>
      <c r="X13" s="23">
        <v>46095</v>
      </c>
      <c r="Y13" s="19">
        <v>46097</v>
      </c>
      <c r="Z13" s="23">
        <v>46097</v>
      </c>
      <c r="AA13" s="19">
        <v>46106</v>
      </c>
      <c r="AB13" s="23">
        <v>46106</v>
      </c>
      <c r="AC13" s="19">
        <v>46107</v>
      </c>
      <c r="AD13" s="20">
        <v>46107</v>
      </c>
      <c r="AE13" s="19">
        <v>46107</v>
      </c>
      <c r="AF13" s="20">
        <v>46107</v>
      </c>
    </row>
    <row r="14" spans="2:38" s="1" customFormat="1" ht="15.95" customHeight="1" x14ac:dyDescent="0.25">
      <c r="B14" s="24">
        <v>62</v>
      </c>
      <c r="C14" s="15">
        <v>13</v>
      </c>
      <c r="D14" s="15" t="s">
        <v>68</v>
      </c>
      <c r="E14" s="16" t="s">
        <v>71</v>
      </c>
      <c r="F14" s="17" t="s">
        <v>31</v>
      </c>
      <c r="G14" s="18">
        <v>46090</v>
      </c>
      <c r="H14" s="19">
        <v>46031</v>
      </c>
      <c r="I14" s="26">
        <v>46031</v>
      </c>
      <c r="J14" s="21">
        <v>46091</v>
      </c>
      <c r="K14" s="20">
        <v>46091</v>
      </c>
      <c r="L14" s="22">
        <v>60</v>
      </c>
      <c r="M14" s="19">
        <v>46092</v>
      </c>
      <c r="N14" s="23">
        <v>46092</v>
      </c>
      <c r="O14" s="19">
        <v>46093</v>
      </c>
      <c r="P14" s="20">
        <v>46093</v>
      </c>
      <c r="Q14" s="19">
        <v>46093</v>
      </c>
      <c r="R14" s="20">
        <v>46093</v>
      </c>
      <c r="S14" s="19">
        <v>46094</v>
      </c>
      <c r="T14" s="23">
        <v>46094</v>
      </c>
      <c r="U14" s="19">
        <v>46094</v>
      </c>
      <c r="V14" s="23">
        <v>46094</v>
      </c>
      <c r="W14" s="19">
        <v>46097</v>
      </c>
      <c r="X14" s="23">
        <v>46097</v>
      </c>
      <c r="Y14" s="19">
        <v>46098</v>
      </c>
      <c r="Z14" s="23">
        <v>46098</v>
      </c>
      <c r="AA14" s="19">
        <v>46134</v>
      </c>
      <c r="AB14" s="23">
        <v>46134</v>
      </c>
      <c r="AC14" s="19">
        <v>46135</v>
      </c>
      <c r="AD14" s="20">
        <v>46135</v>
      </c>
      <c r="AE14" s="19">
        <v>46135</v>
      </c>
      <c r="AF14" s="20">
        <v>46135</v>
      </c>
      <c r="AL14" s="1" t="s">
        <v>31</v>
      </c>
    </row>
    <row r="15" spans="2:38" s="1" customFormat="1" ht="15.95" customHeight="1" x14ac:dyDescent="0.25">
      <c r="B15" s="24">
        <v>25</v>
      </c>
      <c r="C15" s="15">
        <v>11</v>
      </c>
      <c r="D15" s="15" t="s">
        <v>69</v>
      </c>
      <c r="E15" s="16" t="s">
        <v>39</v>
      </c>
      <c r="F15" s="25" t="s">
        <v>28</v>
      </c>
      <c r="G15" s="18">
        <v>46091</v>
      </c>
      <c r="H15" s="19">
        <v>46063</v>
      </c>
      <c r="I15" s="26">
        <v>46063</v>
      </c>
      <c r="J15" s="16">
        <v>46092</v>
      </c>
      <c r="K15" s="20">
        <v>46092</v>
      </c>
      <c r="L15" s="22">
        <v>29</v>
      </c>
      <c r="M15" s="19">
        <v>46094</v>
      </c>
      <c r="N15" s="23">
        <v>46094</v>
      </c>
      <c r="O15" s="19">
        <v>46095</v>
      </c>
      <c r="P15" s="20">
        <v>46095</v>
      </c>
      <c r="Q15" s="19">
        <v>46097</v>
      </c>
      <c r="R15" s="20">
        <v>46097</v>
      </c>
      <c r="S15" s="19">
        <v>46098</v>
      </c>
      <c r="T15" s="23">
        <v>46098</v>
      </c>
      <c r="U15" s="19">
        <v>46098</v>
      </c>
      <c r="V15" s="23">
        <v>46098</v>
      </c>
      <c r="W15" s="19">
        <v>46100</v>
      </c>
      <c r="X15" s="23">
        <v>46100</v>
      </c>
      <c r="Y15" s="19">
        <v>46102</v>
      </c>
      <c r="Z15" s="23">
        <v>46102</v>
      </c>
      <c r="AA15" s="19">
        <v>46118</v>
      </c>
      <c r="AB15" s="23">
        <v>46118</v>
      </c>
      <c r="AC15" s="19">
        <v>46119</v>
      </c>
      <c r="AD15" s="20">
        <v>46119</v>
      </c>
      <c r="AE15" s="19">
        <v>46119</v>
      </c>
      <c r="AF15" s="20">
        <v>46119</v>
      </c>
    </row>
    <row r="16" spans="2:38" s="1" customFormat="1" ht="15.95" customHeight="1" x14ac:dyDescent="0.25">
      <c r="B16" s="24">
        <v>10</v>
      </c>
      <c r="C16" s="15">
        <v>12</v>
      </c>
      <c r="D16" s="15" t="s">
        <v>68</v>
      </c>
      <c r="E16" s="16" t="s">
        <v>41</v>
      </c>
      <c r="F16" s="25" t="s">
        <v>28</v>
      </c>
      <c r="G16" s="18">
        <v>46092</v>
      </c>
      <c r="H16" s="19">
        <v>46065</v>
      </c>
      <c r="I16" s="20">
        <v>46065</v>
      </c>
      <c r="J16" s="21">
        <v>46093</v>
      </c>
      <c r="K16" s="20">
        <v>46093</v>
      </c>
      <c r="L16" s="22">
        <v>28</v>
      </c>
      <c r="M16" s="19">
        <v>46094</v>
      </c>
      <c r="N16" s="23">
        <v>46094</v>
      </c>
      <c r="O16" s="19">
        <v>46095</v>
      </c>
      <c r="P16" s="20">
        <v>46095</v>
      </c>
      <c r="Q16" s="19">
        <v>46095</v>
      </c>
      <c r="R16" s="20">
        <v>46095</v>
      </c>
      <c r="S16" s="19">
        <v>46097</v>
      </c>
      <c r="T16" s="23">
        <v>46097</v>
      </c>
      <c r="U16" s="19">
        <v>46097</v>
      </c>
      <c r="V16" s="23">
        <v>46097</v>
      </c>
      <c r="W16" s="19">
        <v>46099</v>
      </c>
      <c r="X16" s="23">
        <v>46099</v>
      </c>
      <c r="Y16" s="19">
        <v>46100</v>
      </c>
      <c r="Z16" s="23">
        <v>46100</v>
      </c>
      <c r="AA16" s="19">
        <v>46113</v>
      </c>
      <c r="AB16" s="23">
        <v>46113</v>
      </c>
      <c r="AC16" s="19">
        <v>46118</v>
      </c>
      <c r="AD16" s="20">
        <v>46118</v>
      </c>
      <c r="AE16" s="19">
        <v>46118</v>
      </c>
      <c r="AF16" s="20">
        <v>46118</v>
      </c>
    </row>
    <row r="17" spans="2:32" s="1" customFormat="1" ht="15.95" customHeight="1" x14ac:dyDescent="0.25">
      <c r="B17" s="14">
        <v>29</v>
      </c>
      <c r="C17" s="15">
        <v>11</v>
      </c>
      <c r="D17" s="15" t="s">
        <v>70</v>
      </c>
      <c r="E17" s="16" t="s">
        <v>42</v>
      </c>
      <c r="F17" s="25" t="s">
        <v>28</v>
      </c>
      <c r="G17" s="18">
        <v>46093</v>
      </c>
      <c r="H17" s="19">
        <v>46066</v>
      </c>
      <c r="I17" s="20">
        <v>46066</v>
      </c>
      <c r="J17" s="21">
        <v>46094</v>
      </c>
      <c r="K17" s="20">
        <v>46094</v>
      </c>
      <c r="L17" s="22">
        <v>28</v>
      </c>
      <c r="M17" s="19">
        <v>46098</v>
      </c>
      <c r="N17" s="23">
        <v>46098</v>
      </c>
      <c r="O17" s="19">
        <v>46099</v>
      </c>
      <c r="P17" s="20">
        <v>46099</v>
      </c>
      <c r="Q17" s="19">
        <v>46100</v>
      </c>
      <c r="R17" s="20">
        <v>46100</v>
      </c>
      <c r="S17" s="19">
        <v>46101</v>
      </c>
      <c r="T17" s="23">
        <v>46101</v>
      </c>
      <c r="U17" s="19">
        <v>46101</v>
      </c>
      <c r="V17" s="23">
        <v>46101</v>
      </c>
      <c r="W17" s="19">
        <v>46107</v>
      </c>
      <c r="X17" s="23">
        <v>46107</v>
      </c>
      <c r="Y17" s="19">
        <v>46108</v>
      </c>
      <c r="Z17" s="23">
        <v>46108</v>
      </c>
      <c r="AA17" s="19">
        <v>46121</v>
      </c>
      <c r="AB17" s="23">
        <v>46121</v>
      </c>
      <c r="AC17" s="19">
        <v>46122</v>
      </c>
      <c r="AD17" s="20">
        <v>46122</v>
      </c>
      <c r="AE17" s="19">
        <v>46122</v>
      </c>
      <c r="AF17" s="20">
        <v>46122</v>
      </c>
    </row>
    <row r="18" spans="2:32" s="1" customFormat="1" ht="15.95" customHeight="1" x14ac:dyDescent="0.25">
      <c r="B18" s="24">
        <v>13</v>
      </c>
      <c r="C18" s="15">
        <v>12</v>
      </c>
      <c r="D18" s="15" t="s">
        <v>68</v>
      </c>
      <c r="E18" s="16" t="s">
        <v>43</v>
      </c>
      <c r="F18" s="25" t="s">
        <v>28</v>
      </c>
      <c r="G18" s="18">
        <v>46094</v>
      </c>
      <c r="H18" s="19">
        <v>46067</v>
      </c>
      <c r="I18" s="20">
        <v>46067</v>
      </c>
      <c r="J18" s="21">
        <v>46095</v>
      </c>
      <c r="K18" s="20">
        <v>46095</v>
      </c>
      <c r="L18" s="22">
        <v>28</v>
      </c>
      <c r="M18" s="19">
        <v>46097</v>
      </c>
      <c r="N18" s="23">
        <v>46097</v>
      </c>
      <c r="O18" s="19">
        <v>46098</v>
      </c>
      <c r="P18" s="20">
        <v>46098</v>
      </c>
      <c r="Q18" s="19">
        <v>46098</v>
      </c>
      <c r="R18" s="20">
        <v>46098</v>
      </c>
      <c r="S18" s="19">
        <v>46099</v>
      </c>
      <c r="T18" s="23">
        <v>46099</v>
      </c>
      <c r="U18" s="19">
        <v>46099</v>
      </c>
      <c r="V18" s="23">
        <v>46099</v>
      </c>
      <c r="W18" s="19">
        <v>46101</v>
      </c>
      <c r="X18" s="23">
        <v>46101</v>
      </c>
      <c r="Y18" s="19">
        <v>46102</v>
      </c>
      <c r="Z18" s="23">
        <v>46102</v>
      </c>
      <c r="AA18" s="19">
        <v>46113</v>
      </c>
      <c r="AB18" s="23">
        <v>46113</v>
      </c>
      <c r="AC18" s="19">
        <v>46118</v>
      </c>
      <c r="AD18" s="20">
        <v>46118</v>
      </c>
      <c r="AE18" s="19">
        <v>46118</v>
      </c>
      <c r="AF18" s="20">
        <v>46118</v>
      </c>
    </row>
    <row r="19" spans="2:32" s="1" customFormat="1" ht="15.95" customHeight="1" x14ac:dyDescent="0.25">
      <c r="B19" s="24">
        <v>35</v>
      </c>
      <c r="C19" s="15">
        <v>11</v>
      </c>
      <c r="D19" s="15" t="s">
        <v>69</v>
      </c>
      <c r="E19" s="16" t="s">
        <v>39</v>
      </c>
      <c r="F19" s="25" t="s">
        <v>28</v>
      </c>
      <c r="G19" s="18">
        <v>46094</v>
      </c>
      <c r="H19" s="19">
        <v>46069</v>
      </c>
      <c r="I19" s="20">
        <v>46069</v>
      </c>
      <c r="J19" s="21">
        <v>46097</v>
      </c>
      <c r="K19" s="20">
        <v>46097</v>
      </c>
      <c r="L19" s="22">
        <v>28</v>
      </c>
      <c r="M19" s="19">
        <v>46098</v>
      </c>
      <c r="N19" s="23">
        <v>46098</v>
      </c>
      <c r="O19" s="19">
        <v>46099</v>
      </c>
      <c r="P19" s="20">
        <v>46099</v>
      </c>
      <c r="Q19" s="19">
        <v>46100</v>
      </c>
      <c r="R19" s="20">
        <v>46100</v>
      </c>
      <c r="S19" s="19">
        <v>46101</v>
      </c>
      <c r="T19" s="23">
        <v>46101</v>
      </c>
      <c r="U19" s="19">
        <v>46101</v>
      </c>
      <c r="V19" s="23">
        <v>46101</v>
      </c>
      <c r="W19" s="19">
        <v>46107</v>
      </c>
      <c r="X19" s="23">
        <v>46107</v>
      </c>
      <c r="Y19" s="19">
        <v>46108</v>
      </c>
      <c r="Z19" s="23">
        <v>46108</v>
      </c>
      <c r="AA19" s="19">
        <v>46122</v>
      </c>
      <c r="AB19" s="23">
        <v>46122</v>
      </c>
      <c r="AC19" s="19">
        <v>46125</v>
      </c>
      <c r="AD19" s="20">
        <v>46125</v>
      </c>
      <c r="AE19" s="19">
        <v>46125</v>
      </c>
      <c r="AF19" s="20">
        <v>46125</v>
      </c>
    </row>
    <row r="20" spans="2:32" s="1" customFormat="1" ht="15.95" customHeight="1" x14ac:dyDescent="0.25">
      <c r="B20" s="24">
        <v>9</v>
      </c>
      <c r="C20" s="15">
        <v>11</v>
      </c>
      <c r="D20" s="15" t="s">
        <v>70</v>
      </c>
      <c r="E20" s="16" t="s">
        <v>44</v>
      </c>
      <c r="F20" s="25" t="s">
        <v>28</v>
      </c>
      <c r="G20" s="18">
        <v>46094</v>
      </c>
      <c r="H20" s="19">
        <v>46069</v>
      </c>
      <c r="I20" s="20">
        <v>46069</v>
      </c>
      <c r="J20" s="21">
        <v>46097</v>
      </c>
      <c r="K20" s="20">
        <v>46097</v>
      </c>
      <c r="L20" s="22">
        <v>28</v>
      </c>
      <c r="M20" s="19">
        <v>46098</v>
      </c>
      <c r="N20" s="23">
        <v>46098</v>
      </c>
      <c r="O20" s="19">
        <v>46099</v>
      </c>
      <c r="P20" s="20">
        <v>46099</v>
      </c>
      <c r="Q20" s="19">
        <v>46099</v>
      </c>
      <c r="R20" s="20">
        <v>46099</v>
      </c>
      <c r="S20" s="19">
        <v>46100</v>
      </c>
      <c r="T20" s="23">
        <v>46100</v>
      </c>
      <c r="U20" s="19">
        <v>46100</v>
      </c>
      <c r="V20" s="23">
        <v>46100</v>
      </c>
      <c r="W20" s="19">
        <v>46101</v>
      </c>
      <c r="X20" s="23">
        <v>46101</v>
      </c>
      <c r="Y20" s="19">
        <v>46105</v>
      </c>
      <c r="Z20" s="23">
        <v>46105</v>
      </c>
      <c r="AA20" s="19">
        <v>46118</v>
      </c>
      <c r="AB20" s="23">
        <v>46118</v>
      </c>
      <c r="AC20" s="19">
        <v>46119</v>
      </c>
      <c r="AD20" s="20">
        <v>46119</v>
      </c>
      <c r="AE20" s="19">
        <v>46119</v>
      </c>
      <c r="AF20" s="20">
        <v>46119</v>
      </c>
    </row>
    <row r="21" spans="2:32" s="1" customFormat="1" ht="15.95" customHeight="1" x14ac:dyDescent="0.25">
      <c r="B21" s="24">
        <v>59</v>
      </c>
      <c r="C21" s="15">
        <v>13</v>
      </c>
      <c r="D21" s="15" t="s">
        <v>69</v>
      </c>
      <c r="E21" s="16" t="s">
        <v>27</v>
      </c>
      <c r="F21" s="25" t="s">
        <v>31</v>
      </c>
      <c r="G21" s="18">
        <v>46097</v>
      </c>
      <c r="H21" s="19">
        <v>46039</v>
      </c>
      <c r="I21" s="20">
        <v>46039</v>
      </c>
      <c r="J21" s="21">
        <v>46098</v>
      </c>
      <c r="K21" s="20">
        <v>46098</v>
      </c>
      <c r="L21" s="22">
        <v>59</v>
      </c>
      <c r="M21" s="19">
        <v>46099</v>
      </c>
      <c r="N21" s="23">
        <v>46099</v>
      </c>
      <c r="O21" s="19">
        <v>46100</v>
      </c>
      <c r="P21" s="20">
        <v>46100</v>
      </c>
      <c r="Q21" s="19">
        <v>46100</v>
      </c>
      <c r="R21" s="20">
        <v>46100</v>
      </c>
      <c r="S21" s="19">
        <v>46101</v>
      </c>
      <c r="T21" s="23">
        <v>46101</v>
      </c>
      <c r="U21" s="19">
        <v>46101</v>
      </c>
      <c r="V21" s="23">
        <v>46101</v>
      </c>
      <c r="W21" s="19">
        <v>46107</v>
      </c>
      <c r="X21" s="23">
        <v>46107</v>
      </c>
      <c r="Y21" s="19">
        <v>46108</v>
      </c>
      <c r="Z21" s="23">
        <v>46108</v>
      </c>
      <c r="AA21" s="19">
        <v>46136</v>
      </c>
      <c r="AB21" s="23">
        <v>46136</v>
      </c>
      <c r="AC21" s="19">
        <v>46139</v>
      </c>
      <c r="AD21" s="20">
        <v>46139</v>
      </c>
      <c r="AE21" s="19">
        <v>46139</v>
      </c>
      <c r="AF21" s="20">
        <v>46139</v>
      </c>
    </row>
    <row r="22" spans="2:32" s="1" customFormat="1" ht="15.95" customHeight="1" x14ac:dyDescent="0.25">
      <c r="B22" s="14">
        <v>64</v>
      </c>
      <c r="C22" s="15">
        <v>12</v>
      </c>
      <c r="D22" s="15" t="s">
        <v>68</v>
      </c>
      <c r="E22" s="16" t="s">
        <v>36</v>
      </c>
      <c r="F22" s="25" t="s">
        <v>31</v>
      </c>
      <c r="G22" s="18">
        <v>46098</v>
      </c>
      <c r="H22" s="19">
        <v>46043</v>
      </c>
      <c r="I22" s="20">
        <v>46043</v>
      </c>
      <c r="J22" s="16">
        <v>46099</v>
      </c>
      <c r="K22" s="20">
        <v>46099</v>
      </c>
      <c r="L22" s="22">
        <v>56</v>
      </c>
      <c r="M22" s="19">
        <v>46100</v>
      </c>
      <c r="N22" s="23">
        <v>46100</v>
      </c>
      <c r="O22" s="19">
        <v>46101</v>
      </c>
      <c r="P22" s="20">
        <v>46101</v>
      </c>
      <c r="Q22" s="19">
        <v>46101</v>
      </c>
      <c r="R22" s="20">
        <v>46101</v>
      </c>
      <c r="S22" s="19">
        <v>46105</v>
      </c>
      <c r="T22" s="23">
        <v>46105</v>
      </c>
      <c r="U22" s="19">
        <v>46105</v>
      </c>
      <c r="V22" s="23">
        <v>46105</v>
      </c>
      <c r="W22" s="19">
        <v>46107</v>
      </c>
      <c r="X22" s="23">
        <v>46107</v>
      </c>
      <c r="Y22" s="19">
        <v>46108</v>
      </c>
      <c r="Z22" s="23">
        <v>46108</v>
      </c>
      <c r="AA22" s="19">
        <v>46139</v>
      </c>
      <c r="AB22" s="23">
        <v>46139</v>
      </c>
      <c r="AC22" s="19">
        <v>46140</v>
      </c>
      <c r="AD22" s="20">
        <v>46140</v>
      </c>
      <c r="AE22" s="19">
        <v>46140</v>
      </c>
      <c r="AF22" s="20">
        <v>46140</v>
      </c>
    </row>
    <row r="23" spans="2:32" s="1" customFormat="1" ht="15.95" customHeight="1" x14ac:dyDescent="0.25">
      <c r="B23" s="24">
        <v>42</v>
      </c>
      <c r="C23" s="15">
        <v>11</v>
      </c>
      <c r="D23" s="15" t="s">
        <v>70</v>
      </c>
      <c r="E23" s="16" t="s">
        <v>39</v>
      </c>
      <c r="F23" s="25" t="s">
        <v>28</v>
      </c>
      <c r="G23" s="18">
        <v>46099</v>
      </c>
      <c r="H23" s="19">
        <v>46071</v>
      </c>
      <c r="I23" s="20">
        <v>46071</v>
      </c>
      <c r="J23" s="21">
        <v>46100</v>
      </c>
      <c r="K23" s="20">
        <v>46100</v>
      </c>
      <c r="L23" s="22">
        <v>29</v>
      </c>
      <c r="M23" s="19">
        <v>46101</v>
      </c>
      <c r="N23" s="23">
        <v>46101</v>
      </c>
      <c r="O23" s="19">
        <v>46102</v>
      </c>
      <c r="P23" s="20">
        <v>46102</v>
      </c>
      <c r="Q23" s="19">
        <v>46105</v>
      </c>
      <c r="R23" s="20">
        <v>46105</v>
      </c>
      <c r="S23" s="19">
        <v>46106</v>
      </c>
      <c r="T23" s="23">
        <v>46106</v>
      </c>
      <c r="U23" s="19">
        <v>46106</v>
      </c>
      <c r="V23" s="23">
        <v>46106</v>
      </c>
      <c r="W23" s="19">
        <v>46108</v>
      </c>
      <c r="X23" s="23">
        <v>46108</v>
      </c>
      <c r="Y23" s="19">
        <v>46109</v>
      </c>
      <c r="Z23" s="23">
        <v>46109</v>
      </c>
      <c r="AA23" s="19">
        <v>46125</v>
      </c>
      <c r="AB23" s="23">
        <v>46125</v>
      </c>
      <c r="AC23" s="19">
        <v>46126</v>
      </c>
      <c r="AD23" s="20">
        <v>46126</v>
      </c>
      <c r="AE23" s="19">
        <v>46126</v>
      </c>
      <c r="AF23" s="20">
        <v>46126</v>
      </c>
    </row>
    <row r="24" spans="2:32" s="1" customFormat="1" ht="15.95" customHeight="1" x14ac:dyDescent="0.25">
      <c r="B24" s="14">
        <v>47</v>
      </c>
      <c r="C24" s="15">
        <v>11</v>
      </c>
      <c r="D24" s="15" t="s">
        <v>68</v>
      </c>
      <c r="E24" s="16" t="s">
        <v>39</v>
      </c>
      <c r="F24" s="25" t="s">
        <v>28</v>
      </c>
      <c r="G24" s="18">
        <v>46100</v>
      </c>
      <c r="H24" s="19">
        <v>46072</v>
      </c>
      <c r="I24" s="20">
        <v>46072</v>
      </c>
      <c r="J24" s="21">
        <v>46101</v>
      </c>
      <c r="K24" s="20">
        <v>46101</v>
      </c>
      <c r="L24" s="22">
        <v>29</v>
      </c>
      <c r="M24" s="19">
        <v>46105</v>
      </c>
      <c r="N24" s="23">
        <v>46105</v>
      </c>
      <c r="O24" s="19">
        <v>46106</v>
      </c>
      <c r="P24" s="20">
        <v>46106</v>
      </c>
      <c r="Q24" s="19">
        <v>46107</v>
      </c>
      <c r="R24" s="20">
        <v>46107</v>
      </c>
      <c r="S24" s="19">
        <v>46108</v>
      </c>
      <c r="T24" s="23">
        <v>46108</v>
      </c>
      <c r="U24" s="19">
        <v>46108</v>
      </c>
      <c r="V24" s="23">
        <v>46108</v>
      </c>
      <c r="W24" s="19">
        <v>46111</v>
      </c>
      <c r="X24" s="23">
        <v>46111</v>
      </c>
      <c r="Y24" s="19">
        <v>46112</v>
      </c>
      <c r="Z24" s="23">
        <v>46112</v>
      </c>
      <c r="AA24" s="19">
        <v>46126</v>
      </c>
      <c r="AB24" s="23">
        <v>46126</v>
      </c>
      <c r="AC24" s="19">
        <v>46127</v>
      </c>
      <c r="AD24" s="20">
        <v>46127</v>
      </c>
      <c r="AE24" s="19">
        <v>46127</v>
      </c>
      <c r="AF24" s="20">
        <v>46127</v>
      </c>
    </row>
    <row r="25" spans="2:32" s="1" customFormat="1" ht="15.95" customHeight="1" x14ac:dyDescent="0.25">
      <c r="B25" s="24">
        <v>49</v>
      </c>
      <c r="C25" s="15">
        <v>11</v>
      </c>
      <c r="D25" s="15" t="s">
        <v>69</v>
      </c>
      <c r="E25" s="16" t="s">
        <v>39</v>
      </c>
      <c r="F25" s="25" t="s">
        <v>28</v>
      </c>
      <c r="G25" s="18">
        <v>46100</v>
      </c>
      <c r="H25" s="19">
        <v>46073</v>
      </c>
      <c r="I25" s="20">
        <v>46073</v>
      </c>
      <c r="J25" s="21">
        <v>46102</v>
      </c>
      <c r="K25" s="20">
        <v>46102</v>
      </c>
      <c r="L25" s="22">
        <v>29</v>
      </c>
      <c r="M25" s="19">
        <v>46105</v>
      </c>
      <c r="N25" s="23">
        <v>46105</v>
      </c>
      <c r="O25" s="19">
        <v>46106</v>
      </c>
      <c r="P25" s="20">
        <v>46106</v>
      </c>
      <c r="Q25" s="19">
        <v>46107</v>
      </c>
      <c r="R25" s="20">
        <v>46107</v>
      </c>
      <c r="S25" s="19">
        <v>46108</v>
      </c>
      <c r="T25" s="23">
        <v>46108</v>
      </c>
      <c r="U25" s="19">
        <v>46108</v>
      </c>
      <c r="V25" s="23">
        <v>46108</v>
      </c>
      <c r="W25" s="19">
        <v>46111</v>
      </c>
      <c r="X25" s="23">
        <v>46111</v>
      </c>
      <c r="Y25" s="19">
        <v>46112</v>
      </c>
      <c r="Z25" s="23">
        <v>46112</v>
      </c>
      <c r="AA25" s="19">
        <v>46127</v>
      </c>
      <c r="AB25" s="23">
        <v>46127</v>
      </c>
      <c r="AC25" s="19">
        <v>46128</v>
      </c>
      <c r="AD25" s="20">
        <v>46128</v>
      </c>
      <c r="AE25" s="19">
        <v>46128</v>
      </c>
      <c r="AF25" s="20">
        <v>46128</v>
      </c>
    </row>
    <row r="26" spans="2:32" s="1" customFormat="1" ht="15.95" customHeight="1" x14ac:dyDescent="0.25">
      <c r="B26" s="24">
        <v>71</v>
      </c>
      <c r="C26" s="15">
        <v>11</v>
      </c>
      <c r="D26" s="15" t="s">
        <v>70</v>
      </c>
      <c r="E26" s="16" t="s">
        <v>33</v>
      </c>
      <c r="F26" s="25" t="s">
        <v>31</v>
      </c>
      <c r="G26" s="18">
        <v>46101</v>
      </c>
      <c r="H26" s="19">
        <v>46042</v>
      </c>
      <c r="I26" s="20">
        <v>46042</v>
      </c>
      <c r="J26" s="21">
        <v>46102</v>
      </c>
      <c r="K26" s="20">
        <v>46102</v>
      </c>
      <c r="L26" s="22">
        <v>60</v>
      </c>
      <c r="M26" s="19">
        <v>46105</v>
      </c>
      <c r="N26" s="23">
        <v>46105</v>
      </c>
      <c r="O26" s="19">
        <v>46106</v>
      </c>
      <c r="P26" s="20">
        <v>46106</v>
      </c>
      <c r="Q26" s="19">
        <v>46106</v>
      </c>
      <c r="R26" s="20">
        <v>46106</v>
      </c>
      <c r="S26" s="19">
        <v>46107</v>
      </c>
      <c r="T26" s="23">
        <v>46107</v>
      </c>
      <c r="U26" s="19">
        <v>46107</v>
      </c>
      <c r="V26" s="23">
        <v>46107</v>
      </c>
      <c r="W26" s="19">
        <v>46108</v>
      </c>
      <c r="X26" s="23">
        <v>46108</v>
      </c>
      <c r="Y26" s="19">
        <v>46111</v>
      </c>
      <c r="Z26" s="23">
        <v>46111</v>
      </c>
      <c r="AA26" s="19">
        <v>46139</v>
      </c>
      <c r="AB26" s="23">
        <v>46139</v>
      </c>
      <c r="AC26" s="19">
        <v>46140</v>
      </c>
      <c r="AD26" s="20">
        <v>46140</v>
      </c>
      <c r="AE26" s="19">
        <v>46140</v>
      </c>
      <c r="AF26" s="20">
        <v>46140</v>
      </c>
    </row>
    <row r="27" spans="2:32" s="1" customFormat="1" ht="15.95" customHeight="1" x14ac:dyDescent="0.25">
      <c r="B27" s="24">
        <v>51</v>
      </c>
      <c r="C27" s="15">
        <v>11</v>
      </c>
      <c r="D27" s="15" t="s">
        <v>69</v>
      </c>
      <c r="E27" s="16" t="s">
        <v>39</v>
      </c>
      <c r="F27" s="25" t="s">
        <v>28</v>
      </c>
      <c r="G27" s="18">
        <v>46101</v>
      </c>
      <c r="H27" s="19">
        <v>46073</v>
      </c>
      <c r="I27" s="20">
        <v>46073</v>
      </c>
      <c r="J27" s="21">
        <v>46105</v>
      </c>
      <c r="K27" s="20">
        <v>46105</v>
      </c>
      <c r="L27" s="22">
        <v>32</v>
      </c>
      <c r="M27" s="19">
        <v>46106</v>
      </c>
      <c r="N27" s="23">
        <v>46106</v>
      </c>
      <c r="O27" s="19">
        <v>46107</v>
      </c>
      <c r="P27" s="20">
        <v>46107</v>
      </c>
      <c r="Q27" s="19">
        <v>46108</v>
      </c>
      <c r="R27" s="20">
        <v>46108</v>
      </c>
      <c r="S27" s="19">
        <v>46111</v>
      </c>
      <c r="T27" s="23">
        <v>46111</v>
      </c>
      <c r="U27" s="19">
        <v>46111</v>
      </c>
      <c r="V27" s="23">
        <v>46111</v>
      </c>
      <c r="W27" s="19">
        <v>46115</v>
      </c>
      <c r="X27" s="23">
        <v>46115</v>
      </c>
      <c r="Y27" s="19">
        <v>46118</v>
      </c>
      <c r="Z27" s="23">
        <v>46118</v>
      </c>
      <c r="AA27" s="19">
        <v>46128</v>
      </c>
      <c r="AB27" s="23">
        <v>46128</v>
      </c>
      <c r="AC27" s="19">
        <v>46129</v>
      </c>
      <c r="AD27" s="20">
        <v>46129</v>
      </c>
      <c r="AE27" s="19">
        <v>46129</v>
      </c>
      <c r="AF27" s="20">
        <v>46129</v>
      </c>
    </row>
    <row r="28" spans="2:32" s="1" customFormat="1" ht="15.95" customHeight="1" x14ac:dyDescent="0.25">
      <c r="B28" s="24">
        <v>53</v>
      </c>
      <c r="C28" s="15">
        <v>11</v>
      </c>
      <c r="D28" s="15" t="s">
        <v>68</v>
      </c>
      <c r="E28" s="16" t="s">
        <v>39</v>
      </c>
      <c r="F28" s="25" t="s">
        <v>28</v>
      </c>
      <c r="G28" s="18">
        <v>46101</v>
      </c>
      <c r="H28" s="19">
        <v>46076</v>
      </c>
      <c r="I28" s="20">
        <v>46076</v>
      </c>
      <c r="J28" s="21">
        <v>46106</v>
      </c>
      <c r="K28" s="20">
        <v>46106</v>
      </c>
      <c r="L28" s="22">
        <v>30</v>
      </c>
      <c r="M28" s="19">
        <v>46107</v>
      </c>
      <c r="N28" s="23">
        <v>46107</v>
      </c>
      <c r="O28" s="19">
        <v>46108</v>
      </c>
      <c r="P28" s="20">
        <v>46108</v>
      </c>
      <c r="Q28" s="19">
        <v>46111</v>
      </c>
      <c r="R28" s="20">
        <v>46111</v>
      </c>
      <c r="S28" s="19">
        <v>46112</v>
      </c>
      <c r="T28" s="23">
        <v>46112</v>
      </c>
      <c r="U28" s="19">
        <v>46112</v>
      </c>
      <c r="V28" s="23">
        <v>46112</v>
      </c>
      <c r="W28" s="19">
        <v>46119</v>
      </c>
      <c r="X28" s="23">
        <v>46119</v>
      </c>
      <c r="Y28" s="19">
        <v>46120</v>
      </c>
      <c r="Z28" s="23">
        <v>46120</v>
      </c>
      <c r="AA28" s="19">
        <v>46132</v>
      </c>
      <c r="AB28" s="23">
        <v>46132</v>
      </c>
      <c r="AC28" s="19">
        <v>46133</v>
      </c>
      <c r="AD28" s="20">
        <v>46133</v>
      </c>
      <c r="AE28" s="19">
        <v>46133</v>
      </c>
      <c r="AF28" s="20">
        <v>46133</v>
      </c>
    </row>
    <row r="29" spans="2:32" s="1" customFormat="1" ht="15.95" customHeight="1" x14ac:dyDescent="0.25">
      <c r="B29" s="24">
        <v>65</v>
      </c>
      <c r="C29" s="15">
        <v>12</v>
      </c>
      <c r="D29" s="15" t="s">
        <v>70</v>
      </c>
      <c r="E29" s="16" t="s">
        <v>72</v>
      </c>
      <c r="F29" s="25" t="s">
        <v>31</v>
      </c>
      <c r="G29" s="18">
        <v>46105</v>
      </c>
      <c r="H29" s="19">
        <v>46048</v>
      </c>
      <c r="I29" s="20">
        <v>46048</v>
      </c>
      <c r="J29" s="21">
        <v>46106</v>
      </c>
      <c r="K29" s="20">
        <v>46106</v>
      </c>
      <c r="L29" s="22">
        <v>58</v>
      </c>
      <c r="M29" s="19">
        <v>46107</v>
      </c>
      <c r="N29" s="23">
        <v>46107</v>
      </c>
      <c r="O29" s="19">
        <v>46108</v>
      </c>
      <c r="P29" s="20">
        <v>46108</v>
      </c>
      <c r="Q29" s="19">
        <v>46108</v>
      </c>
      <c r="R29" s="20">
        <v>46108</v>
      </c>
      <c r="S29" s="19">
        <v>46111</v>
      </c>
      <c r="T29" s="23">
        <v>46111</v>
      </c>
      <c r="U29" s="19">
        <v>46111</v>
      </c>
      <c r="V29" s="23">
        <v>46111</v>
      </c>
      <c r="W29" s="19">
        <v>46112</v>
      </c>
      <c r="X29" s="23">
        <v>46112</v>
      </c>
      <c r="Y29" s="19">
        <v>46113</v>
      </c>
      <c r="Z29" s="23">
        <v>46113</v>
      </c>
      <c r="AA29" s="19">
        <v>46149</v>
      </c>
      <c r="AB29" s="23">
        <v>46149</v>
      </c>
      <c r="AC29" s="19">
        <v>46150</v>
      </c>
      <c r="AD29" s="20">
        <v>46150</v>
      </c>
      <c r="AE29" s="19">
        <v>46150</v>
      </c>
      <c r="AF29" s="20">
        <v>46150</v>
      </c>
    </row>
    <row r="30" spans="2:32" s="1" customFormat="1" ht="15.95" customHeight="1" x14ac:dyDescent="0.25">
      <c r="B30" s="24">
        <v>68</v>
      </c>
      <c r="C30" s="15">
        <v>12</v>
      </c>
      <c r="D30" s="15" t="s">
        <v>70</v>
      </c>
      <c r="E30" s="16" t="s">
        <v>41</v>
      </c>
      <c r="F30" s="25" t="s">
        <v>31</v>
      </c>
      <c r="G30" s="18">
        <v>46106</v>
      </c>
      <c r="H30" s="19">
        <v>46049</v>
      </c>
      <c r="I30" s="20">
        <v>46049</v>
      </c>
      <c r="J30" s="21">
        <v>46107</v>
      </c>
      <c r="K30" s="20">
        <v>46107</v>
      </c>
      <c r="L30" s="22">
        <v>58</v>
      </c>
      <c r="M30" s="19">
        <v>46108</v>
      </c>
      <c r="N30" s="23">
        <v>46108</v>
      </c>
      <c r="O30" s="19">
        <v>46109</v>
      </c>
      <c r="P30" s="20">
        <v>46109</v>
      </c>
      <c r="Q30" s="19">
        <v>46109</v>
      </c>
      <c r="R30" s="20">
        <v>46109</v>
      </c>
      <c r="S30" s="19">
        <v>46111</v>
      </c>
      <c r="T30" s="23">
        <v>46111</v>
      </c>
      <c r="U30" s="19">
        <v>46111</v>
      </c>
      <c r="V30" s="23">
        <v>46111</v>
      </c>
      <c r="W30" s="19">
        <v>46115</v>
      </c>
      <c r="X30" s="23">
        <v>46115</v>
      </c>
      <c r="Y30" s="19">
        <v>46116</v>
      </c>
      <c r="Z30" s="23">
        <v>46116</v>
      </c>
      <c r="AA30" s="19">
        <v>46148</v>
      </c>
      <c r="AB30" s="23">
        <v>46148</v>
      </c>
      <c r="AC30" s="19">
        <v>46149</v>
      </c>
      <c r="AD30" s="20">
        <v>46149</v>
      </c>
      <c r="AE30" s="19">
        <v>46149</v>
      </c>
      <c r="AF30" s="20">
        <v>46149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46086</v>
      </c>
      <c r="H31" s="19">
        <v>46059</v>
      </c>
      <c r="I31" s="20">
        <v>46059</v>
      </c>
      <c r="J31" s="21">
        <v>46087</v>
      </c>
      <c r="K31" s="20">
        <v>46087</v>
      </c>
      <c r="L31" s="22">
        <v>28</v>
      </c>
      <c r="M31" s="19">
        <v>46087</v>
      </c>
      <c r="N31" s="23">
        <v>46087</v>
      </c>
      <c r="O31" s="19">
        <v>46087</v>
      </c>
      <c r="P31" s="20">
        <v>46087</v>
      </c>
      <c r="Q31" s="19">
        <v>46087</v>
      </c>
      <c r="R31" s="20">
        <v>46087</v>
      </c>
      <c r="S31" s="19">
        <v>46087</v>
      </c>
      <c r="T31" s="20">
        <v>46087</v>
      </c>
      <c r="U31" s="19">
        <v>46087</v>
      </c>
      <c r="V31" s="20">
        <v>46087</v>
      </c>
      <c r="W31" s="19">
        <v>46087</v>
      </c>
      <c r="X31" s="20">
        <v>46087</v>
      </c>
      <c r="Y31" s="19">
        <v>46087</v>
      </c>
      <c r="Z31" s="20">
        <v>46087</v>
      </c>
      <c r="AA31" s="19">
        <v>46112</v>
      </c>
      <c r="AB31" s="20">
        <v>46112</v>
      </c>
      <c r="AC31" s="19">
        <v>46113</v>
      </c>
      <c r="AD31" s="20">
        <v>46113</v>
      </c>
      <c r="AE31" s="19">
        <v>46113</v>
      </c>
      <c r="AF31" s="20">
        <v>46113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46086</v>
      </c>
      <c r="H32" s="19">
        <v>46059</v>
      </c>
      <c r="I32" s="20">
        <v>46059</v>
      </c>
      <c r="J32" s="21">
        <v>46087</v>
      </c>
      <c r="K32" s="20">
        <v>46087</v>
      </c>
      <c r="L32" s="22">
        <v>28</v>
      </c>
      <c r="M32" s="19">
        <v>46087</v>
      </c>
      <c r="N32" s="23">
        <v>46087</v>
      </c>
      <c r="O32" s="19">
        <v>46087</v>
      </c>
      <c r="P32" s="20">
        <v>46087</v>
      </c>
      <c r="Q32" s="19">
        <v>46087</v>
      </c>
      <c r="R32" s="20">
        <v>46087</v>
      </c>
      <c r="S32" s="19">
        <v>46087</v>
      </c>
      <c r="T32" s="20">
        <v>46087</v>
      </c>
      <c r="U32" s="19">
        <v>46087</v>
      </c>
      <c r="V32" s="20">
        <v>46087</v>
      </c>
      <c r="W32" s="19">
        <v>46087</v>
      </c>
      <c r="X32" s="20">
        <v>46087</v>
      </c>
      <c r="Y32" s="19">
        <v>46087</v>
      </c>
      <c r="Z32" s="20">
        <v>46087</v>
      </c>
      <c r="AA32" s="19">
        <v>46112</v>
      </c>
      <c r="AB32" s="20">
        <v>46112</v>
      </c>
      <c r="AC32" s="19">
        <v>46113</v>
      </c>
      <c r="AD32" s="20">
        <v>46113</v>
      </c>
      <c r="AE32" s="19">
        <v>46113</v>
      </c>
      <c r="AF32" s="20">
        <v>46113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46086</v>
      </c>
      <c r="H33" s="19">
        <v>46059</v>
      </c>
      <c r="I33" s="20">
        <v>46059</v>
      </c>
      <c r="J33" s="21">
        <v>46087</v>
      </c>
      <c r="K33" s="20">
        <v>46087</v>
      </c>
      <c r="L33" s="22">
        <v>28</v>
      </c>
      <c r="M33" s="19">
        <v>46087</v>
      </c>
      <c r="N33" s="23">
        <v>46087</v>
      </c>
      <c r="O33" s="19">
        <v>46087</v>
      </c>
      <c r="P33" s="20">
        <v>46087</v>
      </c>
      <c r="Q33" s="19">
        <v>46087</v>
      </c>
      <c r="R33" s="20">
        <v>46087</v>
      </c>
      <c r="S33" s="19">
        <v>46087</v>
      </c>
      <c r="T33" s="20">
        <v>46087</v>
      </c>
      <c r="U33" s="19">
        <v>46087</v>
      </c>
      <c r="V33" s="20">
        <v>46087</v>
      </c>
      <c r="W33" s="19">
        <v>46087</v>
      </c>
      <c r="X33" s="20">
        <v>46087</v>
      </c>
      <c r="Y33" s="19">
        <v>46087</v>
      </c>
      <c r="Z33" s="20">
        <v>46087</v>
      </c>
      <c r="AA33" s="19">
        <v>46112</v>
      </c>
      <c r="AB33" s="20">
        <v>46112</v>
      </c>
      <c r="AC33" s="19">
        <v>46113</v>
      </c>
      <c r="AD33" s="20">
        <v>46113</v>
      </c>
      <c r="AE33" s="19">
        <v>46113</v>
      </c>
      <c r="AF33" s="20">
        <v>46113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46090</v>
      </c>
      <c r="H34" s="19">
        <v>46063</v>
      </c>
      <c r="I34" s="20">
        <v>46063</v>
      </c>
      <c r="J34" s="21">
        <v>46091</v>
      </c>
      <c r="K34" s="20">
        <v>46091</v>
      </c>
      <c r="L34" s="22">
        <v>28</v>
      </c>
      <c r="M34" s="19">
        <v>46091</v>
      </c>
      <c r="N34" s="23">
        <v>46091</v>
      </c>
      <c r="O34" s="19">
        <v>46091</v>
      </c>
      <c r="P34" s="20">
        <v>46091</v>
      </c>
      <c r="Q34" s="19">
        <v>46091</v>
      </c>
      <c r="R34" s="20">
        <v>46091</v>
      </c>
      <c r="S34" s="19">
        <v>46091</v>
      </c>
      <c r="T34" s="20">
        <v>46091</v>
      </c>
      <c r="U34" s="19">
        <v>46091</v>
      </c>
      <c r="V34" s="20">
        <v>46091</v>
      </c>
      <c r="W34" s="19">
        <v>46091</v>
      </c>
      <c r="X34" s="20">
        <v>46091</v>
      </c>
      <c r="Y34" s="19">
        <v>46091</v>
      </c>
      <c r="Z34" s="20">
        <v>46091</v>
      </c>
      <c r="AA34" s="19">
        <v>46098</v>
      </c>
      <c r="AB34" s="20">
        <v>46098</v>
      </c>
      <c r="AC34" s="19">
        <v>46099</v>
      </c>
      <c r="AD34" s="20">
        <v>46099</v>
      </c>
      <c r="AE34" s="19">
        <v>46099</v>
      </c>
      <c r="AF34" s="20">
        <v>46099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46090</v>
      </c>
      <c r="H35" s="19">
        <v>46063</v>
      </c>
      <c r="I35" s="20">
        <v>46063</v>
      </c>
      <c r="J35" s="21">
        <v>46091</v>
      </c>
      <c r="K35" s="20">
        <v>46091</v>
      </c>
      <c r="L35" s="22">
        <v>28</v>
      </c>
      <c r="M35" s="19">
        <v>46091</v>
      </c>
      <c r="N35" s="23">
        <v>46091</v>
      </c>
      <c r="O35" s="19">
        <v>46091</v>
      </c>
      <c r="P35" s="20">
        <v>46091</v>
      </c>
      <c r="Q35" s="19">
        <v>46091</v>
      </c>
      <c r="R35" s="20">
        <v>46091</v>
      </c>
      <c r="S35" s="19">
        <v>46091</v>
      </c>
      <c r="T35" s="20">
        <v>46091</v>
      </c>
      <c r="U35" s="19">
        <v>46091</v>
      </c>
      <c r="V35" s="20">
        <v>46091</v>
      </c>
      <c r="W35" s="19">
        <v>46091</v>
      </c>
      <c r="X35" s="20">
        <v>46091</v>
      </c>
      <c r="Y35" s="19">
        <v>46091</v>
      </c>
      <c r="Z35" s="20">
        <v>46091</v>
      </c>
      <c r="AA35" s="19">
        <v>46098</v>
      </c>
      <c r="AB35" s="20">
        <v>46098</v>
      </c>
      <c r="AC35" s="19">
        <v>46099</v>
      </c>
      <c r="AD35" s="20">
        <v>46099</v>
      </c>
      <c r="AE35" s="19">
        <v>46099</v>
      </c>
      <c r="AF35" s="20">
        <v>46099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46093</v>
      </c>
      <c r="H36" s="19">
        <v>46066</v>
      </c>
      <c r="I36" s="20">
        <v>46066</v>
      </c>
      <c r="J36" s="21">
        <v>46094</v>
      </c>
      <c r="K36" s="20">
        <v>46094</v>
      </c>
      <c r="L36" s="22">
        <v>28</v>
      </c>
      <c r="M36" s="19">
        <v>46094</v>
      </c>
      <c r="N36" s="23">
        <v>46094</v>
      </c>
      <c r="O36" s="19">
        <v>46094</v>
      </c>
      <c r="P36" s="20">
        <v>46094</v>
      </c>
      <c r="Q36" s="19">
        <v>46094</v>
      </c>
      <c r="R36" s="20">
        <v>46094</v>
      </c>
      <c r="S36" s="19">
        <v>46094</v>
      </c>
      <c r="T36" s="20">
        <v>46094</v>
      </c>
      <c r="U36" s="19">
        <v>46094</v>
      </c>
      <c r="V36" s="20">
        <v>46094</v>
      </c>
      <c r="W36" s="19">
        <v>46094</v>
      </c>
      <c r="X36" s="20">
        <v>46094</v>
      </c>
      <c r="Y36" s="19">
        <v>46094</v>
      </c>
      <c r="Z36" s="20">
        <v>46094</v>
      </c>
      <c r="AA36" s="19">
        <v>46113</v>
      </c>
      <c r="AB36" s="20">
        <v>46113</v>
      </c>
      <c r="AC36" s="19">
        <v>46118</v>
      </c>
      <c r="AD36" s="20">
        <v>46118</v>
      </c>
      <c r="AE36" s="19">
        <v>46118</v>
      </c>
      <c r="AF36" s="20">
        <v>46118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46093</v>
      </c>
      <c r="H37" s="19">
        <v>46066</v>
      </c>
      <c r="I37" s="20">
        <v>46066</v>
      </c>
      <c r="J37" s="21">
        <v>46094</v>
      </c>
      <c r="K37" s="20">
        <v>46094</v>
      </c>
      <c r="L37" s="22">
        <v>28</v>
      </c>
      <c r="M37" s="19">
        <v>46094</v>
      </c>
      <c r="N37" s="23">
        <v>46094</v>
      </c>
      <c r="O37" s="19">
        <v>46094</v>
      </c>
      <c r="P37" s="20">
        <v>46094</v>
      </c>
      <c r="Q37" s="19">
        <v>46094</v>
      </c>
      <c r="R37" s="20">
        <v>46094</v>
      </c>
      <c r="S37" s="19">
        <v>46094</v>
      </c>
      <c r="T37" s="20">
        <v>46094</v>
      </c>
      <c r="U37" s="19">
        <v>46094</v>
      </c>
      <c r="V37" s="20">
        <v>46094</v>
      </c>
      <c r="W37" s="19">
        <v>46094</v>
      </c>
      <c r="X37" s="20">
        <v>46094</v>
      </c>
      <c r="Y37" s="19">
        <v>46094</v>
      </c>
      <c r="Z37" s="20">
        <v>46094</v>
      </c>
      <c r="AA37" s="19">
        <v>46113</v>
      </c>
      <c r="AB37" s="20">
        <v>46113</v>
      </c>
      <c r="AC37" s="19">
        <v>46118</v>
      </c>
      <c r="AD37" s="20">
        <v>46118</v>
      </c>
      <c r="AE37" s="19">
        <v>46118</v>
      </c>
      <c r="AF37" s="20">
        <v>46118</v>
      </c>
    </row>
    <row r="38" spans="2:32" s="1" customFormat="1" ht="15.95" customHeight="1" x14ac:dyDescent="0.25">
      <c r="B38" s="29">
        <v>58</v>
      </c>
      <c r="C38" s="31">
        <v>11</v>
      </c>
      <c r="D38" s="31" t="s">
        <v>57</v>
      </c>
      <c r="E38" s="32" t="s">
        <v>58</v>
      </c>
      <c r="F38" s="25" t="s">
        <v>28</v>
      </c>
      <c r="G38" s="18">
        <v>46094</v>
      </c>
      <c r="H38" s="19">
        <v>46069</v>
      </c>
      <c r="I38" s="20">
        <v>46069</v>
      </c>
      <c r="J38" s="21">
        <v>46097</v>
      </c>
      <c r="K38" s="20">
        <v>46097</v>
      </c>
      <c r="L38" s="22">
        <v>28</v>
      </c>
      <c r="M38" s="19">
        <v>46097</v>
      </c>
      <c r="N38" s="23">
        <v>46097</v>
      </c>
      <c r="O38" s="19">
        <v>46097</v>
      </c>
      <c r="P38" s="20">
        <v>46097</v>
      </c>
      <c r="Q38" s="19">
        <v>46097</v>
      </c>
      <c r="R38" s="20">
        <v>46097</v>
      </c>
      <c r="S38" s="19">
        <v>46097</v>
      </c>
      <c r="T38" s="20">
        <v>46097</v>
      </c>
      <c r="U38" s="19">
        <v>46097</v>
      </c>
      <c r="V38" s="20">
        <v>46097</v>
      </c>
      <c r="W38" s="19">
        <v>46097</v>
      </c>
      <c r="X38" s="20">
        <v>46097</v>
      </c>
      <c r="Y38" s="19">
        <v>46097</v>
      </c>
      <c r="Z38" s="20">
        <v>46097</v>
      </c>
      <c r="AA38" s="19">
        <v>46105</v>
      </c>
      <c r="AB38" s="20">
        <v>46105</v>
      </c>
      <c r="AC38" s="19">
        <v>46106</v>
      </c>
      <c r="AD38" s="20">
        <v>46106</v>
      </c>
      <c r="AE38" s="19">
        <v>46106</v>
      </c>
      <c r="AF38" s="20">
        <v>46106</v>
      </c>
    </row>
    <row r="39" spans="2:32" s="1" customFormat="1" ht="15.95" customHeight="1" x14ac:dyDescent="0.25">
      <c r="B39" s="29">
        <v>92</v>
      </c>
      <c r="C39" s="31">
        <v>11</v>
      </c>
      <c r="D39" s="31" t="s">
        <v>51</v>
      </c>
      <c r="E39" s="32" t="s">
        <v>59</v>
      </c>
      <c r="F39" s="25" t="s">
        <v>28</v>
      </c>
      <c r="G39" s="18">
        <v>46094</v>
      </c>
      <c r="H39" s="19">
        <v>46069</v>
      </c>
      <c r="I39" s="20">
        <v>46069</v>
      </c>
      <c r="J39" s="21">
        <v>46097</v>
      </c>
      <c r="K39" s="20">
        <v>46097</v>
      </c>
      <c r="L39" s="22">
        <v>28</v>
      </c>
      <c r="M39" s="19">
        <v>46097</v>
      </c>
      <c r="N39" s="23">
        <v>46097</v>
      </c>
      <c r="O39" s="19">
        <v>46097</v>
      </c>
      <c r="P39" s="20">
        <v>46097</v>
      </c>
      <c r="Q39" s="19">
        <v>46097</v>
      </c>
      <c r="R39" s="20">
        <v>46097</v>
      </c>
      <c r="S39" s="19">
        <v>46097</v>
      </c>
      <c r="T39" s="20">
        <v>46097</v>
      </c>
      <c r="U39" s="19">
        <v>46097</v>
      </c>
      <c r="V39" s="20">
        <v>46097</v>
      </c>
      <c r="W39" s="19">
        <v>46097</v>
      </c>
      <c r="X39" s="20">
        <v>46097</v>
      </c>
      <c r="Y39" s="19">
        <v>46097</v>
      </c>
      <c r="Z39" s="20">
        <v>46097</v>
      </c>
      <c r="AA39" s="19">
        <v>46105</v>
      </c>
      <c r="AB39" s="20">
        <v>46105</v>
      </c>
      <c r="AC39" s="19">
        <v>46106</v>
      </c>
      <c r="AD39" s="20">
        <v>46106</v>
      </c>
      <c r="AE39" s="19">
        <v>46106</v>
      </c>
      <c r="AF39" s="20">
        <v>46106</v>
      </c>
    </row>
    <row r="40" spans="2:32" s="1" customFormat="1" ht="15.95" customHeight="1" x14ac:dyDescent="0.25">
      <c r="B40" s="29">
        <v>93</v>
      </c>
      <c r="C40" s="31">
        <v>11</v>
      </c>
      <c r="D40" s="31" t="s">
        <v>60</v>
      </c>
      <c r="E40" s="32" t="s">
        <v>61</v>
      </c>
      <c r="F40" s="25" t="s">
        <v>28</v>
      </c>
      <c r="G40" s="18">
        <v>46094</v>
      </c>
      <c r="H40" s="19">
        <v>46069</v>
      </c>
      <c r="I40" s="20">
        <v>46069</v>
      </c>
      <c r="J40" s="21">
        <v>46097</v>
      </c>
      <c r="K40" s="20">
        <v>46097</v>
      </c>
      <c r="L40" s="22">
        <v>28</v>
      </c>
      <c r="M40" s="19">
        <v>46097</v>
      </c>
      <c r="N40" s="23">
        <v>46097</v>
      </c>
      <c r="O40" s="19">
        <v>46097</v>
      </c>
      <c r="P40" s="20">
        <v>46097</v>
      </c>
      <c r="Q40" s="19">
        <v>46097</v>
      </c>
      <c r="R40" s="20">
        <v>46097</v>
      </c>
      <c r="S40" s="19">
        <v>46097</v>
      </c>
      <c r="T40" s="20">
        <v>46097</v>
      </c>
      <c r="U40" s="19">
        <v>46097</v>
      </c>
      <c r="V40" s="20">
        <v>46097</v>
      </c>
      <c r="W40" s="19">
        <v>46097</v>
      </c>
      <c r="X40" s="20">
        <v>46097</v>
      </c>
      <c r="Y40" s="19">
        <v>46097</v>
      </c>
      <c r="Z40" s="20">
        <v>46097</v>
      </c>
      <c r="AA40" s="19">
        <v>46122</v>
      </c>
      <c r="AB40" s="20">
        <v>46122</v>
      </c>
      <c r="AC40" s="19">
        <v>46125</v>
      </c>
      <c r="AD40" s="20">
        <v>46125</v>
      </c>
      <c r="AE40" s="19">
        <v>46125</v>
      </c>
      <c r="AF40" s="20">
        <v>46125</v>
      </c>
    </row>
    <row r="41" spans="2:32" s="1" customFormat="1" ht="15.95" customHeight="1" x14ac:dyDescent="0.25">
      <c r="B41" s="29">
        <v>89</v>
      </c>
      <c r="C41" s="31">
        <v>11</v>
      </c>
      <c r="D41" s="31" t="s">
        <v>47</v>
      </c>
      <c r="E41" s="32" t="s">
        <v>62</v>
      </c>
      <c r="F41" s="25" t="s">
        <v>28</v>
      </c>
      <c r="G41" s="18">
        <v>46097</v>
      </c>
      <c r="H41" s="19">
        <v>46070</v>
      </c>
      <c r="I41" s="20">
        <v>46070</v>
      </c>
      <c r="J41" s="21">
        <v>46098</v>
      </c>
      <c r="K41" s="20">
        <v>46098</v>
      </c>
      <c r="L41" s="22">
        <v>28</v>
      </c>
      <c r="M41" s="19">
        <v>46098</v>
      </c>
      <c r="N41" s="23">
        <v>46098</v>
      </c>
      <c r="O41" s="19">
        <v>46098</v>
      </c>
      <c r="P41" s="20">
        <v>46098</v>
      </c>
      <c r="Q41" s="19">
        <v>46098</v>
      </c>
      <c r="R41" s="20">
        <v>46098</v>
      </c>
      <c r="S41" s="19">
        <v>46098</v>
      </c>
      <c r="T41" s="20">
        <v>46098</v>
      </c>
      <c r="U41" s="19">
        <v>46098</v>
      </c>
      <c r="V41" s="20">
        <v>46098</v>
      </c>
      <c r="W41" s="19">
        <v>46098</v>
      </c>
      <c r="X41" s="20">
        <v>46098</v>
      </c>
      <c r="Y41" s="19">
        <v>46098</v>
      </c>
      <c r="Z41" s="20">
        <v>46098</v>
      </c>
      <c r="AA41" s="19">
        <v>46122</v>
      </c>
      <c r="AB41" s="20">
        <v>46122</v>
      </c>
      <c r="AC41" s="19">
        <v>46125</v>
      </c>
      <c r="AD41" s="20">
        <v>46125</v>
      </c>
      <c r="AE41" s="19">
        <v>46125</v>
      </c>
      <c r="AF41" s="20">
        <v>46125</v>
      </c>
    </row>
    <row r="42" spans="2:32" s="1" customFormat="1" ht="15.95" customHeight="1" x14ac:dyDescent="0.25">
      <c r="B42" s="29">
        <v>81</v>
      </c>
      <c r="C42" s="31">
        <v>11</v>
      </c>
      <c r="D42" s="31" t="s">
        <v>73</v>
      </c>
      <c r="E42" s="32" t="s">
        <v>63</v>
      </c>
      <c r="F42" s="25" t="s">
        <v>28</v>
      </c>
      <c r="G42" s="18">
        <v>46100</v>
      </c>
      <c r="H42" s="19">
        <v>46073</v>
      </c>
      <c r="I42" s="20">
        <v>46073</v>
      </c>
      <c r="J42" s="21">
        <v>46101</v>
      </c>
      <c r="K42" s="20">
        <v>46101</v>
      </c>
      <c r="L42" s="22">
        <v>28</v>
      </c>
      <c r="M42" s="19">
        <v>46101</v>
      </c>
      <c r="N42" s="23">
        <v>46101</v>
      </c>
      <c r="O42" s="19">
        <v>46101</v>
      </c>
      <c r="P42" s="20">
        <v>46101</v>
      </c>
      <c r="Q42" s="19">
        <v>46101</v>
      </c>
      <c r="R42" s="20">
        <v>46101</v>
      </c>
      <c r="S42" s="19">
        <v>46101</v>
      </c>
      <c r="T42" s="20">
        <v>46101</v>
      </c>
      <c r="U42" s="19">
        <v>46101</v>
      </c>
      <c r="V42" s="20">
        <v>46101</v>
      </c>
      <c r="W42" s="19">
        <v>46101</v>
      </c>
      <c r="X42" s="20">
        <v>46101</v>
      </c>
      <c r="Y42" s="19">
        <v>46101</v>
      </c>
      <c r="Z42" s="20">
        <v>46101</v>
      </c>
      <c r="AA42" s="19">
        <v>46128</v>
      </c>
      <c r="AB42" s="20">
        <v>46128</v>
      </c>
      <c r="AC42" s="19">
        <v>46129</v>
      </c>
      <c r="AD42" s="20">
        <v>46129</v>
      </c>
      <c r="AE42" s="19">
        <v>46129</v>
      </c>
      <c r="AF42" s="20">
        <v>46129</v>
      </c>
    </row>
    <row r="43" spans="2:32" s="1" customFormat="1" ht="15.95" customHeight="1" x14ac:dyDescent="0.25">
      <c r="B43" s="29">
        <v>79</v>
      </c>
      <c r="C43" s="31">
        <v>11</v>
      </c>
      <c r="D43" s="31" t="s">
        <v>47</v>
      </c>
      <c r="E43" s="32" t="s">
        <v>64</v>
      </c>
      <c r="F43" s="25" t="s">
        <v>28</v>
      </c>
      <c r="G43" s="18">
        <v>46101</v>
      </c>
      <c r="H43" s="19">
        <v>46076</v>
      </c>
      <c r="I43" s="20">
        <v>46076</v>
      </c>
      <c r="J43" s="21">
        <v>46105</v>
      </c>
      <c r="K43" s="20">
        <v>46105</v>
      </c>
      <c r="L43" s="22">
        <v>29</v>
      </c>
      <c r="M43" s="19">
        <v>46105</v>
      </c>
      <c r="N43" s="23">
        <v>46105</v>
      </c>
      <c r="O43" s="19">
        <v>46105</v>
      </c>
      <c r="P43" s="20">
        <v>46105</v>
      </c>
      <c r="Q43" s="19">
        <v>46105</v>
      </c>
      <c r="R43" s="20">
        <v>46105</v>
      </c>
      <c r="S43" s="19">
        <v>46105</v>
      </c>
      <c r="T43" s="20">
        <v>46105</v>
      </c>
      <c r="U43" s="19">
        <v>46105</v>
      </c>
      <c r="V43" s="20">
        <v>46105</v>
      </c>
      <c r="W43" s="19">
        <v>46105</v>
      </c>
      <c r="X43" s="20">
        <v>46105</v>
      </c>
      <c r="Y43" s="19">
        <v>46105</v>
      </c>
      <c r="Z43" s="20">
        <v>46105</v>
      </c>
      <c r="AA43" s="19">
        <v>46132</v>
      </c>
      <c r="AB43" s="20">
        <v>46132</v>
      </c>
      <c r="AC43" s="19">
        <v>46133</v>
      </c>
      <c r="AD43" s="20">
        <v>46133</v>
      </c>
      <c r="AE43" s="19">
        <v>46133</v>
      </c>
      <c r="AF43" s="20">
        <v>46133</v>
      </c>
    </row>
    <row r="44" spans="2:32" s="1" customFormat="1" ht="15.95" customHeight="1" x14ac:dyDescent="0.25">
      <c r="B44" s="29">
        <v>79</v>
      </c>
      <c r="C44" s="31">
        <v>12</v>
      </c>
      <c r="D44" s="31" t="s">
        <v>47</v>
      </c>
      <c r="E44" s="32" t="s">
        <v>64</v>
      </c>
      <c r="F44" s="25" t="s">
        <v>28</v>
      </c>
      <c r="G44" s="18">
        <v>46101</v>
      </c>
      <c r="H44" s="19">
        <v>46076</v>
      </c>
      <c r="I44" s="20">
        <v>46076</v>
      </c>
      <c r="J44" s="21">
        <v>46105</v>
      </c>
      <c r="K44" s="20">
        <v>46105</v>
      </c>
      <c r="L44" s="22">
        <v>29</v>
      </c>
      <c r="M44" s="19">
        <v>46105</v>
      </c>
      <c r="N44" s="23">
        <v>46105</v>
      </c>
      <c r="O44" s="19">
        <v>46105</v>
      </c>
      <c r="P44" s="20">
        <v>46105</v>
      </c>
      <c r="Q44" s="19">
        <v>46105</v>
      </c>
      <c r="R44" s="20">
        <v>46105</v>
      </c>
      <c r="S44" s="19">
        <v>46105</v>
      </c>
      <c r="T44" s="20">
        <v>46105</v>
      </c>
      <c r="U44" s="19">
        <v>46105</v>
      </c>
      <c r="V44" s="20">
        <v>46105</v>
      </c>
      <c r="W44" s="19">
        <v>46105</v>
      </c>
      <c r="X44" s="20">
        <v>46105</v>
      </c>
      <c r="Y44" s="19">
        <v>46105</v>
      </c>
      <c r="Z44" s="20">
        <v>46105</v>
      </c>
      <c r="AA44" s="19">
        <v>46132</v>
      </c>
      <c r="AB44" s="20">
        <v>46132</v>
      </c>
      <c r="AC44" s="19">
        <v>46133</v>
      </c>
      <c r="AD44" s="20">
        <v>46133</v>
      </c>
      <c r="AE44" s="19">
        <v>46133</v>
      </c>
      <c r="AF44" s="20">
        <v>46133</v>
      </c>
    </row>
    <row r="45" spans="2:32" s="1" customFormat="1" ht="15.95" customHeight="1" x14ac:dyDescent="0.25">
      <c r="B45" s="29">
        <v>79</v>
      </c>
      <c r="C45" s="31">
        <v>13</v>
      </c>
      <c r="D45" s="31" t="s">
        <v>47</v>
      </c>
      <c r="E45" s="32" t="s">
        <v>64</v>
      </c>
      <c r="F45" s="25" t="s">
        <v>28</v>
      </c>
      <c r="G45" s="18">
        <v>46101</v>
      </c>
      <c r="H45" s="19">
        <v>46076</v>
      </c>
      <c r="I45" s="20">
        <v>46076</v>
      </c>
      <c r="J45" s="21">
        <v>46105</v>
      </c>
      <c r="K45" s="20">
        <v>46105</v>
      </c>
      <c r="L45" s="22">
        <v>29</v>
      </c>
      <c r="M45" s="19">
        <v>46105</v>
      </c>
      <c r="N45" s="23">
        <v>46105</v>
      </c>
      <c r="O45" s="19">
        <v>46105</v>
      </c>
      <c r="P45" s="20">
        <v>46105</v>
      </c>
      <c r="Q45" s="19">
        <v>46105</v>
      </c>
      <c r="R45" s="20">
        <v>46105</v>
      </c>
      <c r="S45" s="19">
        <v>46105</v>
      </c>
      <c r="T45" s="20">
        <v>46105</v>
      </c>
      <c r="U45" s="19">
        <v>46105</v>
      </c>
      <c r="V45" s="20">
        <v>46105</v>
      </c>
      <c r="W45" s="19">
        <v>46105</v>
      </c>
      <c r="X45" s="20">
        <v>46105</v>
      </c>
      <c r="Y45" s="19">
        <v>46105</v>
      </c>
      <c r="Z45" s="20">
        <v>46105</v>
      </c>
      <c r="AA45" s="19">
        <v>46132</v>
      </c>
      <c r="AB45" s="20">
        <v>46132</v>
      </c>
      <c r="AC45" s="19">
        <v>46133</v>
      </c>
      <c r="AD45" s="20">
        <v>46133</v>
      </c>
      <c r="AE45" s="19">
        <v>46133</v>
      </c>
      <c r="AF45" s="20">
        <v>46133</v>
      </c>
    </row>
    <row r="46" spans="2:32" s="1" customFormat="1" ht="15.95" customHeight="1" x14ac:dyDescent="0.25">
      <c r="B46" s="29">
        <v>95</v>
      </c>
      <c r="C46" s="30" t="s">
        <v>46</v>
      </c>
      <c r="D46" s="31" t="s">
        <v>60</v>
      </c>
      <c r="E46" s="32" t="s">
        <v>65</v>
      </c>
      <c r="F46" s="25" t="s">
        <v>28</v>
      </c>
      <c r="G46" s="18">
        <v>46108</v>
      </c>
      <c r="H46" s="19">
        <v>46079</v>
      </c>
      <c r="I46" s="20">
        <v>46079</v>
      </c>
      <c r="J46" s="21">
        <v>46111</v>
      </c>
      <c r="K46" s="20">
        <v>46111</v>
      </c>
      <c r="L46" s="22">
        <v>32</v>
      </c>
      <c r="M46" s="19">
        <v>46111</v>
      </c>
      <c r="N46" s="23">
        <v>46111</v>
      </c>
      <c r="O46" s="19">
        <v>46111</v>
      </c>
      <c r="P46" s="20">
        <v>46111</v>
      </c>
      <c r="Q46" s="19">
        <v>46111</v>
      </c>
      <c r="R46" s="20">
        <v>46111</v>
      </c>
      <c r="S46" s="19">
        <v>46111</v>
      </c>
      <c r="T46" s="20">
        <v>46111</v>
      </c>
      <c r="U46" s="19">
        <v>46111</v>
      </c>
      <c r="V46" s="20">
        <v>46111</v>
      </c>
      <c r="W46" s="19">
        <v>46111</v>
      </c>
      <c r="X46" s="20">
        <v>46111</v>
      </c>
      <c r="Y46" s="19">
        <v>46111</v>
      </c>
      <c r="Z46" s="20">
        <v>46111</v>
      </c>
      <c r="AA46" s="19">
        <v>46128</v>
      </c>
      <c r="AB46" s="20">
        <v>46128</v>
      </c>
      <c r="AC46" s="19">
        <v>46129</v>
      </c>
      <c r="AD46" s="20">
        <v>46129</v>
      </c>
      <c r="AE46" s="19">
        <v>46129</v>
      </c>
      <c r="AF46" s="20">
        <v>46129</v>
      </c>
    </row>
    <row r="47" spans="2:32" s="1" customFormat="1" ht="15.95" customHeight="1" x14ac:dyDescent="0.25">
      <c r="B47" s="29">
        <v>95</v>
      </c>
      <c r="C47" s="30" t="s">
        <v>49</v>
      </c>
      <c r="D47" s="31" t="s">
        <v>60</v>
      </c>
      <c r="E47" s="32" t="s">
        <v>65</v>
      </c>
      <c r="F47" s="25" t="s">
        <v>28</v>
      </c>
      <c r="G47" s="18">
        <v>46108</v>
      </c>
      <c r="H47" s="19">
        <v>46079</v>
      </c>
      <c r="I47" s="20">
        <v>46079</v>
      </c>
      <c r="J47" s="21">
        <v>46111</v>
      </c>
      <c r="K47" s="20">
        <v>46111</v>
      </c>
      <c r="L47" s="22">
        <v>32</v>
      </c>
      <c r="M47" s="19">
        <v>46111</v>
      </c>
      <c r="N47" s="23">
        <v>46111</v>
      </c>
      <c r="O47" s="19">
        <v>46111</v>
      </c>
      <c r="P47" s="20">
        <v>46111</v>
      </c>
      <c r="Q47" s="19">
        <v>46111</v>
      </c>
      <c r="R47" s="20">
        <v>46111</v>
      </c>
      <c r="S47" s="19">
        <v>46111</v>
      </c>
      <c r="T47" s="20">
        <v>46111</v>
      </c>
      <c r="U47" s="19">
        <v>46111</v>
      </c>
      <c r="V47" s="20">
        <v>46111</v>
      </c>
      <c r="W47" s="19">
        <v>46111</v>
      </c>
      <c r="X47" s="20">
        <v>46111</v>
      </c>
      <c r="Y47" s="19">
        <v>46111</v>
      </c>
      <c r="Z47" s="20">
        <v>46111</v>
      </c>
      <c r="AA47" s="19">
        <v>46128</v>
      </c>
      <c r="AB47" s="20">
        <v>46128</v>
      </c>
      <c r="AC47" s="19">
        <v>46129</v>
      </c>
      <c r="AD47" s="20">
        <v>46129</v>
      </c>
      <c r="AE47" s="19">
        <v>46129</v>
      </c>
      <c r="AF47" s="20">
        <v>46129</v>
      </c>
    </row>
    <row r="48" spans="2:32" s="1" customFormat="1" ht="15.95" customHeight="1" x14ac:dyDescent="0.25">
      <c r="B48" s="29">
        <v>95</v>
      </c>
      <c r="C48" s="30" t="s">
        <v>50</v>
      </c>
      <c r="D48" s="31" t="s">
        <v>60</v>
      </c>
      <c r="E48" s="32" t="s">
        <v>65</v>
      </c>
      <c r="F48" s="25" t="s">
        <v>28</v>
      </c>
      <c r="G48" s="18">
        <v>46108</v>
      </c>
      <c r="H48" s="19">
        <v>46079</v>
      </c>
      <c r="I48" s="20">
        <v>46079</v>
      </c>
      <c r="J48" s="21">
        <v>46111</v>
      </c>
      <c r="K48" s="20">
        <v>46111</v>
      </c>
      <c r="L48" s="22">
        <v>32</v>
      </c>
      <c r="M48" s="19">
        <v>46111</v>
      </c>
      <c r="N48" s="23">
        <v>46111</v>
      </c>
      <c r="O48" s="19">
        <v>46111</v>
      </c>
      <c r="P48" s="20">
        <v>46111</v>
      </c>
      <c r="Q48" s="19">
        <v>46111</v>
      </c>
      <c r="R48" s="20">
        <v>46111</v>
      </c>
      <c r="S48" s="19">
        <v>46111</v>
      </c>
      <c r="T48" s="20">
        <v>46111</v>
      </c>
      <c r="U48" s="19">
        <v>46111</v>
      </c>
      <c r="V48" s="20">
        <v>46111</v>
      </c>
      <c r="W48" s="19">
        <v>46111</v>
      </c>
      <c r="X48" s="20">
        <v>46111</v>
      </c>
      <c r="Y48" s="19">
        <v>46111</v>
      </c>
      <c r="Z48" s="20">
        <v>46111</v>
      </c>
      <c r="AA48" s="19">
        <v>46128</v>
      </c>
      <c r="AB48" s="20">
        <v>46128</v>
      </c>
      <c r="AC48" s="19">
        <v>46129</v>
      </c>
      <c r="AD48" s="20">
        <v>46129</v>
      </c>
      <c r="AE48" s="19">
        <v>46129</v>
      </c>
      <c r="AF48" s="20">
        <v>46129</v>
      </c>
    </row>
    <row r="49" spans="2:32" s="1" customFormat="1" ht="15.95" customHeight="1" x14ac:dyDescent="0.25">
      <c r="B49" s="29">
        <v>77</v>
      </c>
      <c r="C49" s="30" t="s">
        <v>46</v>
      </c>
      <c r="D49" s="31" t="s">
        <v>47</v>
      </c>
      <c r="E49" s="32" t="s">
        <v>66</v>
      </c>
      <c r="F49" s="25" t="s">
        <v>28</v>
      </c>
      <c r="G49" s="18">
        <v>46111</v>
      </c>
      <c r="H49" s="19">
        <v>46080</v>
      </c>
      <c r="I49" s="20">
        <v>46080</v>
      </c>
      <c r="J49" s="21">
        <v>46112</v>
      </c>
      <c r="K49" s="20">
        <v>46112</v>
      </c>
      <c r="L49" s="22">
        <v>32</v>
      </c>
      <c r="M49" s="19">
        <v>46112</v>
      </c>
      <c r="N49" s="23">
        <v>46112</v>
      </c>
      <c r="O49" s="19">
        <v>46112</v>
      </c>
      <c r="P49" s="20">
        <v>46112</v>
      </c>
      <c r="Q49" s="19">
        <v>46112</v>
      </c>
      <c r="R49" s="20">
        <v>46112</v>
      </c>
      <c r="S49" s="19">
        <v>46112</v>
      </c>
      <c r="T49" s="20">
        <v>46112</v>
      </c>
      <c r="U49" s="19">
        <v>46112</v>
      </c>
      <c r="V49" s="20">
        <v>46112</v>
      </c>
      <c r="W49" s="19">
        <v>46112</v>
      </c>
      <c r="X49" s="20">
        <v>46112</v>
      </c>
      <c r="Y49" s="19">
        <v>46112</v>
      </c>
      <c r="Z49" s="20">
        <v>46112</v>
      </c>
      <c r="AA49" s="19">
        <v>46132</v>
      </c>
      <c r="AB49" s="20">
        <v>46132</v>
      </c>
      <c r="AC49" s="19">
        <v>46133</v>
      </c>
      <c r="AD49" s="20">
        <v>46133</v>
      </c>
      <c r="AE49" s="19">
        <v>46133</v>
      </c>
      <c r="AF49" s="20">
        <v>46133</v>
      </c>
    </row>
    <row r="50" spans="2:32" s="1" customFormat="1" ht="15.95" customHeight="1" x14ac:dyDescent="0.25">
      <c r="B50" s="29">
        <v>77</v>
      </c>
      <c r="C50" s="30" t="s">
        <v>49</v>
      </c>
      <c r="D50" s="31" t="s">
        <v>47</v>
      </c>
      <c r="E50" s="32" t="s">
        <v>66</v>
      </c>
      <c r="F50" s="25" t="s">
        <v>28</v>
      </c>
      <c r="G50" s="18">
        <v>46111</v>
      </c>
      <c r="H50" s="19">
        <v>46080</v>
      </c>
      <c r="I50" s="20">
        <v>46080</v>
      </c>
      <c r="J50" s="21">
        <v>46112</v>
      </c>
      <c r="K50" s="20">
        <v>46112</v>
      </c>
      <c r="L50" s="22">
        <v>32</v>
      </c>
      <c r="M50" s="19">
        <v>46112</v>
      </c>
      <c r="N50" s="23">
        <v>46112</v>
      </c>
      <c r="O50" s="19">
        <v>46112</v>
      </c>
      <c r="P50" s="20">
        <v>46112</v>
      </c>
      <c r="Q50" s="19">
        <v>46112</v>
      </c>
      <c r="R50" s="20">
        <v>46112</v>
      </c>
      <c r="S50" s="19">
        <v>46112</v>
      </c>
      <c r="T50" s="20">
        <v>46112</v>
      </c>
      <c r="U50" s="19">
        <v>46112</v>
      </c>
      <c r="V50" s="20">
        <v>46112</v>
      </c>
      <c r="W50" s="19">
        <v>46112</v>
      </c>
      <c r="X50" s="20">
        <v>46112</v>
      </c>
      <c r="Y50" s="19">
        <v>46112</v>
      </c>
      <c r="Z50" s="20">
        <v>46112</v>
      </c>
      <c r="AA50" s="19">
        <v>46132</v>
      </c>
      <c r="AB50" s="20">
        <v>46132</v>
      </c>
      <c r="AC50" s="19">
        <v>46133</v>
      </c>
      <c r="AD50" s="20">
        <v>46133</v>
      </c>
      <c r="AE50" s="19">
        <v>46133</v>
      </c>
      <c r="AF50" s="20">
        <v>46133</v>
      </c>
    </row>
    <row r="51" spans="2:32" s="1" customFormat="1" ht="15.95" customHeight="1" x14ac:dyDescent="0.25">
      <c r="B51" s="29">
        <v>77</v>
      </c>
      <c r="C51" s="30" t="s">
        <v>50</v>
      </c>
      <c r="D51" s="31" t="s">
        <v>47</v>
      </c>
      <c r="E51" s="32" t="s">
        <v>66</v>
      </c>
      <c r="F51" s="25" t="s">
        <v>28</v>
      </c>
      <c r="G51" s="18">
        <v>46111</v>
      </c>
      <c r="H51" s="19">
        <v>46080</v>
      </c>
      <c r="I51" s="20">
        <v>46080</v>
      </c>
      <c r="J51" s="21">
        <v>46112</v>
      </c>
      <c r="K51" s="20">
        <v>46112</v>
      </c>
      <c r="L51" s="22">
        <v>32</v>
      </c>
      <c r="M51" s="19">
        <v>46112</v>
      </c>
      <c r="N51" s="23">
        <v>46112</v>
      </c>
      <c r="O51" s="19">
        <v>46112</v>
      </c>
      <c r="P51" s="20">
        <v>46112</v>
      </c>
      <c r="Q51" s="19">
        <v>46112</v>
      </c>
      <c r="R51" s="20">
        <v>46112</v>
      </c>
      <c r="S51" s="19">
        <v>46112</v>
      </c>
      <c r="T51" s="20">
        <v>46112</v>
      </c>
      <c r="U51" s="19">
        <v>46112</v>
      </c>
      <c r="V51" s="20">
        <v>46112</v>
      </c>
      <c r="W51" s="19">
        <v>46112</v>
      </c>
      <c r="X51" s="20">
        <v>46112</v>
      </c>
      <c r="Y51" s="19">
        <v>46112</v>
      </c>
      <c r="Z51" s="20">
        <v>46112</v>
      </c>
      <c r="AA51" s="19">
        <v>46132</v>
      </c>
      <c r="AB51" s="20">
        <v>46132</v>
      </c>
      <c r="AC51" s="19">
        <v>46133</v>
      </c>
      <c r="AD51" s="20">
        <v>46133</v>
      </c>
      <c r="AE51" s="19">
        <v>46133</v>
      </c>
      <c r="AF51" s="20">
        <v>46133</v>
      </c>
    </row>
    <row r="52" spans="2:32" s="1" customFormat="1" ht="15.95" customHeight="1" x14ac:dyDescent="0.25">
      <c r="B52" s="33"/>
      <c r="C52" s="33"/>
      <c r="D52" s="33"/>
      <c r="E52" s="33"/>
      <c r="F52" s="34"/>
      <c r="G52" s="34"/>
      <c r="H52" s="35"/>
      <c r="I52" s="36"/>
      <c r="J52" s="35"/>
      <c r="K52" s="36"/>
      <c r="L52" s="37"/>
      <c r="M52" s="35"/>
      <c r="N52" s="36"/>
      <c r="O52" s="36"/>
      <c r="P52" s="36"/>
      <c r="Q52" s="36"/>
      <c r="R52" s="36"/>
      <c r="S52" s="35"/>
      <c r="T52" s="36"/>
      <c r="U52" s="35"/>
      <c r="V52" s="36"/>
      <c r="W52" s="35"/>
      <c r="X52" s="36"/>
      <c r="Y52" s="35"/>
      <c r="Z52" s="36"/>
      <c r="AA52" s="35"/>
      <c r="AB52" s="36"/>
      <c r="AC52" s="35"/>
      <c r="AD52" s="36"/>
      <c r="AE52" s="35"/>
      <c r="AF52" s="36"/>
    </row>
    <row r="53" spans="2:32" s="1" customFormat="1" ht="15.95" customHeight="1" thickBot="1" x14ac:dyDescent="0.3">
      <c r="B53" s="33"/>
      <c r="C53" s="33"/>
      <c r="D53" s="33"/>
      <c r="E53" s="33"/>
      <c r="F53" s="34"/>
      <c r="G53" s="34"/>
      <c r="H53" s="35"/>
      <c r="I53" s="36"/>
      <c r="J53" s="35"/>
      <c r="K53" s="36"/>
      <c r="L53" s="37"/>
      <c r="M53" s="35"/>
      <c r="N53" s="36"/>
      <c r="O53" s="36"/>
      <c r="P53" s="36"/>
      <c r="Q53" s="36"/>
      <c r="R53" s="36"/>
      <c r="S53" s="35"/>
      <c r="T53" s="36"/>
      <c r="U53" s="35"/>
      <c r="V53" s="36"/>
      <c r="W53" s="35"/>
      <c r="X53" s="36"/>
      <c r="Y53" s="35"/>
      <c r="Z53" s="36"/>
      <c r="AA53" s="35"/>
      <c r="AB53" s="36"/>
      <c r="AC53" s="35"/>
      <c r="AD53" s="36"/>
      <c r="AE53" s="35"/>
      <c r="AF53" s="36"/>
    </row>
    <row r="54" spans="2:32" ht="15.75" hidden="1" thickBot="1" x14ac:dyDescent="0.3"/>
    <row r="55" spans="2:32" ht="15.75" hidden="1" thickBot="1" x14ac:dyDescent="0.3"/>
    <row r="56" spans="2:32" ht="30" customHeight="1" thickBot="1" x14ac:dyDescent="0.3">
      <c r="B56" s="72" t="s">
        <v>74</v>
      </c>
      <c r="C56" s="73"/>
      <c r="D56" s="73"/>
      <c r="E56" s="74"/>
      <c r="F56" s="74"/>
      <c r="G56" s="74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6"/>
    </row>
    <row r="57" spans="2:32" ht="26.25" customHeight="1" thickTop="1" thickBot="1" x14ac:dyDescent="0.3">
      <c r="B57" s="77"/>
      <c r="C57" s="78"/>
      <c r="D57" s="78"/>
      <c r="E57" s="78"/>
      <c r="F57" s="78"/>
      <c r="G57" s="78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80"/>
    </row>
    <row r="58" spans="2:32" x14ac:dyDescent="0.25"/>
    <row r="59" spans="2:32" x14ac:dyDescent="0.25"/>
    <row r="60" spans="2:32" x14ac:dyDescent="0.25"/>
    <row r="61" spans="2:32" x14ac:dyDescent="0.25"/>
    <row r="62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6:AF57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L7:L53 P52:Q53">
    <cfRule type="expression" dxfId="39" priority="2" stopIfTrue="1">
      <formula>IF(J7="",TRUE,FALSE)</formula>
    </cfRule>
  </conditionalFormatting>
  <conditionalFormatting sqref="L7:L53">
    <cfRule type="expression" dxfId="38" priority="1" stopIfTrue="1">
      <formula>IF(F7="Mensual",OR(L7&gt;32,L7&lt;28), IF(F7="Bimestral",OR(L7&gt;62,L7&lt;58),IF(F7="Trimestral",OR(L7&gt;96,L7&lt;84),FALSE)))</formula>
    </cfRule>
  </conditionalFormatting>
  <conditionalFormatting sqref="N7:N51 P7:P51 R7:R51 I7:I53 K7:K53 T7:T53 V7:V53 X7:X53 Z7:Z53 AB7:AB53 AD7:AD53 AF7:AF53 N52:O53">
    <cfRule type="expression" dxfId="37" priority="3" stopIfTrue="1">
      <formula>IF(H7="",TRUE,FALSE)</formula>
    </cfRule>
  </conditionalFormatting>
  <conditionalFormatting sqref="R52:R53">
    <cfRule type="expression" dxfId="36" priority="4" stopIfTrue="1">
      <formula>IF(O52="",TRUE,FALSE)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0F3CA-4153-48DF-A7F5-B3E15E6C6F78}">
  <dimension ref="B1:AL55"/>
  <sheetViews>
    <sheetView workbookViewId="0">
      <selection activeCell="G17" sqref="G17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75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26</v>
      </c>
      <c r="E7" s="50" t="s">
        <v>27</v>
      </c>
      <c r="F7" s="51" t="s">
        <v>28</v>
      </c>
      <c r="G7" s="52">
        <v>46113</v>
      </c>
      <c r="H7" s="53">
        <v>46085</v>
      </c>
      <c r="I7" s="54">
        <v>46085</v>
      </c>
      <c r="J7" s="55">
        <v>46116</v>
      </c>
      <c r="K7" s="54">
        <v>46116</v>
      </c>
      <c r="L7" s="56">
        <v>31</v>
      </c>
      <c r="M7" s="53">
        <v>46118</v>
      </c>
      <c r="N7" s="57">
        <v>46118</v>
      </c>
      <c r="O7" s="53">
        <v>46119</v>
      </c>
      <c r="P7" s="54">
        <v>46119</v>
      </c>
      <c r="Q7" s="53">
        <v>46119</v>
      </c>
      <c r="R7" s="54">
        <v>46119</v>
      </c>
      <c r="S7" s="53">
        <v>46120</v>
      </c>
      <c r="T7" s="57">
        <v>46120</v>
      </c>
      <c r="U7" s="53">
        <v>46120</v>
      </c>
      <c r="V7" s="57">
        <v>46120</v>
      </c>
      <c r="W7" s="53">
        <v>46120</v>
      </c>
      <c r="X7" s="57">
        <v>46120</v>
      </c>
      <c r="Y7" s="53">
        <v>46123</v>
      </c>
      <c r="Z7" s="57">
        <v>46123</v>
      </c>
      <c r="AA7" s="53">
        <v>46134</v>
      </c>
      <c r="AB7" s="57">
        <v>46134</v>
      </c>
      <c r="AC7" s="53">
        <v>46135</v>
      </c>
      <c r="AD7" s="54">
        <v>46135</v>
      </c>
      <c r="AE7" s="53">
        <v>46135</v>
      </c>
      <c r="AF7" s="54">
        <v>46135</v>
      </c>
      <c r="AL7" s="48" t="s">
        <v>28</v>
      </c>
    </row>
    <row r="8" spans="2:38" s="48" customFormat="1" ht="15.95" customHeight="1" x14ac:dyDescent="0.2">
      <c r="B8" s="58">
        <v>61</v>
      </c>
      <c r="C8" s="49">
        <v>13</v>
      </c>
      <c r="D8" s="49" t="s">
        <v>26</v>
      </c>
      <c r="E8" s="50" t="s">
        <v>30</v>
      </c>
      <c r="F8" s="51" t="s">
        <v>31</v>
      </c>
      <c r="G8" s="52">
        <v>46120</v>
      </c>
      <c r="H8" s="55">
        <v>46057</v>
      </c>
      <c r="I8" s="54">
        <v>46057</v>
      </c>
      <c r="J8" s="55">
        <v>46121</v>
      </c>
      <c r="K8" s="54">
        <v>46121</v>
      </c>
      <c r="L8" s="56">
        <v>64</v>
      </c>
      <c r="M8" s="53">
        <v>46122</v>
      </c>
      <c r="N8" s="57">
        <v>46122</v>
      </c>
      <c r="O8" s="53">
        <v>46123</v>
      </c>
      <c r="P8" s="54">
        <v>46123</v>
      </c>
      <c r="Q8" s="53">
        <v>46123</v>
      </c>
      <c r="R8" s="54">
        <v>46123</v>
      </c>
      <c r="S8" s="53">
        <v>46125</v>
      </c>
      <c r="T8" s="57">
        <v>46125</v>
      </c>
      <c r="U8" s="53">
        <v>46125</v>
      </c>
      <c r="V8" s="57">
        <v>46125</v>
      </c>
      <c r="W8" s="53">
        <v>46125</v>
      </c>
      <c r="X8" s="57">
        <v>46125</v>
      </c>
      <c r="Y8" s="53">
        <v>46127</v>
      </c>
      <c r="Z8" s="57">
        <v>46127</v>
      </c>
      <c r="AA8" s="53">
        <v>46161</v>
      </c>
      <c r="AB8" s="57">
        <v>46161</v>
      </c>
      <c r="AC8" s="53">
        <v>46162</v>
      </c>
      <c r="AD8" s="54">
        <v>46162</v>
      </c>
      <c r="AE8" s="53">
        <v>46162</v>
      </c>
      <c r="AF8" s="54">
        <v>46162</v>
      </c>
      <c r="AL8" s="48" t="s">
        <v>31</v>
      </c>
    </row>
    <row r="9" spans="2:38" s="48" customFormat="1" ht="15.95" customHeight="1" x14ac:dyDescent="0.2">
      <c r="B9" s="58">
        <v>16</v>
      </c>
      <c r="C9" s="49">
        <v>11</v>
      </c>
      <c r="D9" s="49" t="s">
        <v>68</v>
      </c>
      <c r="E9" s="50" t="s">
        <v>33</v>
      </c>
      <c r="F9" s="59" t="s">
        <v>28</v>
      </c>
      <c r="G9" s="52">
        <v>46113</v>
      </c>
      <c r="H9" s="55">
        <v>46086</v>
      </c>
      <c r="I9" s="54">
        <v>46086</v>
      </c>
      <c r="J9" s="55">
        <v>46118</v>
      </c>
      <c r="K9" s="54">
        <v>46118</v>
      </c>
      <c r="L9" s="56">
        <v>32</v>
      </c>
      <c r="M9" s="53">
        <v>46119</v>
      </c>
      <c r="N9" s="57">
        <v>46119</v>
      </c>
      <c r="O9" s="53">
        <v>46120</v>
      </c>
      <c r="P9" s="54">
        <v>46120</v>
      </c>
      <c r="Q9" s="53">
        <v>46120</v>
      </c>
      <c r="R9" s="54">
        <v>46120</v>
      </c>
      <c r="S9" s="53">
        <v>46121</v>
      </c>
      <c r="T9" s="57">
        <v>46121</v>
      </c>
      <c r="U9" s="53">
        <v>46121</v>
      </c>
      <c r="V9" s="57">
        <v>46121</v>
      </c>
      <c r="W9" s="53">
        <v>46121</v>
      </c>
      <c r="X9" s="57">
        <v>46121</v>
      </c>
      <c r="Y9" s="53">
        <v>46125</v>
      </c>
      <c r="Z9" s="57">
        <v>46125</v>
      </c>
      <c r="AA9" s="53">
        <v>46135</v>
      </c>
      <c r="AB9" s="57">
        <v>46135</v>
      </c>
      <c r="AC9" s="53">
        <v>46136</v>
      </c>
      <c r="AD9" s="54">
        <v>46136</v>
      </c>
      <c r="AE9" s="53">
        <v>46136</v>
      </c>
      <c r="AF9" s="54">
        <v>46136</v>
      </c>
      <c r="AL9" s="48" t="s">
        <v>34</v>
      </c>
    </row>
    <row r="10" spans="2:38" s="48" customFormat="1" ht="15.95" customHeight="1" x14ac:dyDescent="0.2">
      <c r="B10" s="58">
        <v>5</v>
      </c>
      <c r="C10" s="49">
        <v>13</v>
      </c>
      <c r="D10" s="49" t="s">
        <v>26</v>
      </c>
      <c r="E10" s="50" t="s">
        <v>27</v>
      </c>
      <c r="F10" s="59" t="s">
        <v>28</v>
      </c>
      <c r="G10" s="52">
        <v>46118</v>
      </c>
      <c r="H10" s="50">
        <v>46087</v>
      </c>
      <c r="I10" s="54">
        <v>46087</v>
      </c>
      <c r="J10" s="50">
        <v>46119</v>
      </c>
      <c r="K10" s="54">
        <v>46119</v>
      </c>
      <c r="L10" s="56">
        <v>32</v>
      </c>
      <c r="M10" s="53">
        <v>46120</v>
      </c>
      <c r="N10" s="57">
        <v>46120</v>
      </c>
      <c r="O10" s="53">
        <v>46121</v>
      </c>
      <c r="P10" s="54">
        <v>46121</v>
      </c>
      <c r="Q10" s="53">
        <v>46121</v>
      </c>
      <c r="R10" s="54">
        <v>46121</v>
      </c>
      <c r="S10" s="53">
        <v>46122</v>
      </c>
      <c r="T10" s="57">
        <v>46122</v>
      </c>
      <c r="U10" s="53">
        <v>46122</v>
      </c>
      <c r="V10" s="57">
        <v>46122</v>
      </c>
      <c r="W10" s="53">
        <v>46122</v>
      </c>
      <c r="X10" s="57">
        <v>46122</v>
      </c>
      <c r="Y10" s="53">
        <v>46127</v>
      </c>
      <c r="Z10" s="57">
        <v>46127</v>
      </c>
      <c r="AA10" s="53">
        <v>46139</v>
      </c>
      <c r="AB10" s="57">
        <v>46139</v>
      </c>
      <c r="AC10" s="53">
        <v>46140</v>
      </c>
      <c r="AD10" s="54">
        <v>46140</v>
      </c>
      <c r="AE10" s="53">
        <v>46140</v>
      </c>
      <c r="AF10" s="54">
        <v>46140</v>
      </c>
    </row>
    <row r="11" spans="2:38" s="48" customFormat="1" ht="30.75" customHeight="1" x14ac:dyDescent="0.2">
      <c r="B11" s="58">
        <v>15</v>
      </c>
      <c r="C11" s="49">
        <v>13</v>
      </c>
      <c r="D11" s="49" t="s">
        <v>68</v>
      </c>
      <c r="E11" s="60" t="s">
        <v>35</v>
      </c>
      <c r="F11" s="59" t="s">
        <v>28</v>
      </c>
      <c r="G11" s="52">
        <v>46119</v>
      </c>
      <c r="H11" s="53">
        <v>46088</v>
      </c>
      <c r="I11" s="61">
        <v>46088</v>
      </c>
      <c r="J11" s="50">
        <v>46120</v>
      </c>
      <c r="K11" s="54">
        <v>46120</v>
      </c>
      <c r="L11" s="56">
        <v>32</v>
      </c>
      <c r="M11" s="53">
        <v>46121</v>
      </c>
      <c r="N11" s="57">
        <v>46121</v>
      </c>
      <c r="O11" s="53">
        <v>46122</v>
      </c>
      <c r="P11" s="54">
        <v>46122</v>
      </c>
      <c r="Q11" s="53">
        <v>46122</v>
      </c>
      <c r="R11" s="54">
        <v>46122</v>
      </c>
      <c r="S11" s="53">
        <v>46125</v>
      </c>
      <c r="T11" s="57">
        <v>46125</v>
      </c>
      <c r="U11" s="53">
        <v>46125</v>
      </c>
      <c r="V11" s="57">
        <v>46125</v>
      </c>
      <c r="W11" s="53">
        <v>46125</v>
      </c>
      <c r="X11" s="57">
        <v>46125</v>
      </c>
      <c r="Y11" s="53">
        <v>46128</v>
      </c>
      <c r="Z11" s="57">
        <v>46128</v>
      </c>
      <c r="AA11" s="53">
        <v>46135</v>
      </c>
      <c r="AB11" s="57">
        <v>46135</v>
      </c>
      <c r="AC11" s="53">
        <v>46136</v>
      </c>
      <c r="AD11" s="54">
        <v>46136</v>
      </c>
      <c r="AE11" s="53">
        <v>46136</v>
      </c>
      <c r="AF11" s="54">
        <v>46136</v>
      </c>
    </row>
    <row r="12" spans="2:38" s="48" customFormat="1" ht="15.95" customHeight="1" x14ac:dyDescent="0.2">
      <c r="B12" s="58">
        <v>21</v>
      </c>
      <c r="C12" s="49">
        <v>12</v>
      </c>
      <c r="D12" s="49" t="s">
        <v>68</v>
      </c>
      <c r="E12" s="50" t="s">
        <v>36</v>
      </c>
      <c r="F12" s="59" t="s">
        <v>28</v>
      </c>
      <c r="G12" s="52">
        <v>46121</v>
      </c>
      <c r="H12" s="53">
        <v>46090</v>
      </c>
      <c r="I12" s="61">
        <v>46090</v>
      </c>
      <c r="J12" s="50">
        <v>46122</v>
      </c>
      <c r="K12" s="54">
        <v>46122</v>
      </c>
      <c r="L12" s="56">
        <v>32</v>
      </c>
      <c r="M12" s="53">
        <v>46125</v>
      </c>
      <c r="N12" s="57">
        <v>46125</v>
      </c>
      <c r="O12" s="53">
        <v>46126</v>
      </c>
      <c r="P12" s="54">
        <v>46126</v>
      </c>
      <c r="Q12" s="53">
        <v>46126</v>
      </c>
      <c r="R12" s="54">
        <v>46126</v>
      </c>
      <c r="S12" s="53">
        <v>46127</v>
      </c>
      <c r="T12" s="57">
        <v>46127</v>
      </c>
      <c r="U12" s="53">
        <v>46127</v>
      </c>
      <c r="V12" s="57">
        <v>46127</v>
      </c>
      <c r="W12" s="53">
        <v>46127</v>
      </c>
      <c r="X12" s="57">
        <v>46127</v>
      </c>
      <c r="Y12" s="53">
        <v>46132</v>
      </c>
      <c r="Z12" s="57">
        <v>46132</v>
      </c>
      <c r="AA12" s="53">
        <v>46140</v>
      </c>
      <c r="AB12" s="57">
        <v>46140</v>
      </c>
      <c r="AC12" s="53">
        <v>46141</v>
      </c>
      <c r="AD12" s="54">
        <v>46141</v>
      </c>
      <c r="AE12" s="53">
        <v>46141</v>
      </c>
      <c r="AF12" s="54">
        <v>46141</v>
      </c>
    </row>
    <row r="13" spans="2:38" s="48" customFormat="1" ht="15.95" customHeight="1" x14ac:dyDescent="0.2">
      <c r="B13" s="58">
        <v>22</v>
      </c>
      <c r="C13" s="49">
        <v>12</v>
      </c>
      <c r="D13" s="49" t="s">
        <v>76</v>
      </c>
      <c r="E13" s="50" t="s">
        <v>37</v>
      </c>
      <c r="F13" s="59" t="s">
        <v>28</v>
      </c>
      <c r="G13" s="52">
        <v>46121</v>
      </c>
      <c r="H13" s="53">
        <v>46090</v>
      </c>
      <c r="I13" s="61">
        <v>46090</v>
      </c>
      <c r="J13" s="50">
        <v>46122</v>
      </c>
      <c r="K13" s="54">
        <v>46122</v>
      </c>
      <c r="L13" s="56">
        <v>32</v>
      </c>
      <c r="M13" s="53">
        <v>46125</v>
      </c>
      <c r="N13" s="57">
        <v>46125</v>
      </c>
      <c r="O13" s="53">
        <v>46126</v>
      </c>
      <c r="P13" s="54">
        <v>46126</v>
      </c>
      <c r="Q13" s="53">
        <v>46126</v>
      </c>
      <c r="R13" s="54">
        <v>46126</v>
      </c>
      <c r="S13" s="53">
        <v>46127</v>
      </c>
      <c r="T13" s="57">
        <v>46127</v>
      </c>
      <c r="U13" s="53">
        <v>46127</v>
      </c>
      <c r="V13" s="57">
        <v>46127</v>
      </c>
      <c r="W13" s="53">
        <v>46127</v>
      </c>
      <c r="X13" s="57">
        <v>46127</v>
      </c>
      <c r="Y13" s="53">
        <v>46132</v>
      </c>
      <c r="Z13" s="57">
        <v>46132</v>
      </c>
      <c r="AA13" s="53">
        <v>46141</v>
      </c>
      <c r="AB13" s="57">
        <v>46141</v>
      </c>
      <c r="AC13" s="53">
        <v>46142</v>
      </c>
      <c r="AD13" s="54">
        <v>46142</v>
      </c>
      <c r="AE13" s="53">
        <v>46142</v>
      </c>
      <c r="AF13" s="54">
        <v>46142</v>
      </c>
    </row>
    <row r="14" spans="2:38" s="48" customFormat="1" ht="15.95" customHeight="1" x14ac:dyDescent="0.2">
      <c r="B14" s="58">
        <v>39</v>
      </c>
      <c r="C14" s="49">
        <v>12</v>
      </c>
      <c r="D14" s="49" t="s">
        <v>26</v>
      </c>
      <c r="E14" s="50" t="s">
        <v>38</v>
      </c>
      <c r="F14" s="59" t="s">
        <v>28</v>
      </c>
      <c r="G14" s="52">
        <v>46121</v>
      </c>
      <c r="H14" s="53">
        <v>46090</v>
      </c>
      <c r="I14" s="61">
        <v>46090</v>
      </c>
      <c r="J14" s="50">
        <v>46122</v>
      </c>
      <c r="K14" s="54">
        <v>46122</v>
      </c>
      <c r="L14" s="56">
        <v>32</v>
      </c>
      <c r="M14" s="53">
        <v>46125</v>
      </c>
      <c r="N14" s="57">
        <v>46125</v>
      </c>
      <c r="O14" s="53">
        <v>46126</v>
      </c>
      <c r="P14" s="54">
        <v>46126</v>
      </c>
      <c r="Q14" s="53">
        <v>46126</v>
      </c>
      <c r="R14" s="54">
        <v>46126</v>
      </c>
      <c r="S14" s="53">
        <v>46127</v>
      </c>
      <c r="T14" s="57">
        <v>46127</v>
      </c>
      <c r="U14" s="53">
        <v>46127</v>
      </c>
      <c r="V14" s="57">
        <v>46127</v>
      </c>
      <c r="W14" s="53">
        <v>46127</v>
      </c>
      <c r="X14" s="57">
        <v>46127</v>
      </c>
      <c r="Y14" s="53">
        <v>46132</v>
      </c>
      <c r="Z14" s="57">
        <v>46132</v>
      </c>
      <c r="AA14" s="53">
        <v>46141</v>
      </c>
      <c r="AB14" s="57">
        <v>46141</v>
      </c>
      <c r="AC14" s="53">
        <v>46142</v>
      </c>
      <c r="AD14" s="54">
        <v>46142</v>
      </c>
      <c r="AE14" s="53">
        <v>46142</v>
      </c>
      <c r="AF14" s="54">
        <v>46142</v>
      </c>
    </row>
    <row r="15" spans="2:38" s="48" customFormat="1" ht="15.95" customHeight="1" x14ac:dyDescent="0.2">
      <c r="B15" s="58">
        <v>25</v>
      </c>
      <c r="C15" s="49">
        <v>11</v>
      </c>
      <c r="D15" s="49" t="s">
        <v>68</v>
      </c>
      <c r="E15" s="50" t="s">
        <v>39</v>
      </c>
      <c r="F15" s="59" t="s">
        <v>28</v>
      </c>
      <c r="G15" s="52">
        <v>46122</v>
      </c>
      <c r="H15" s="53">
        <v>46092</v>
      </c>
      <c r="I15" s="61">
        <v>46092</v>
      </c>
      <c r="J15" s="50">
        <v>46123</v>
      </c>
      <c r="K15" s="54">
        <v>46123</v>
      </c>
      <c r="L15" s="56">
        <v>31</v>
      </c>
      <c r="M15" s="53">
        <v>46126</v>
      </c>
      <c r="N15" s="57">
        <v>46126</v>
      </c>
      <c r="O15" s="53">
        <v>46127</v>
      </c>
      <c r="P15" s="54">
        <v>46127</v>
      </c>
      <c r="Q15" s="53">
        <v>46128</v>
      </c>
      <c r="R15" s="54">
        <v>46128</v>
      </c>
      <c r="S15" s="53">
        <v>46129</v>
      </c>
      <c r="T15" s="57">
        <v>46129</v>
      </c>
      <c r="U15" s="53">
        <v>46129</v>
      </c>
      <c r="V15" s="57">
        <v>46129</v>
      </c>
      <c r="W15" s="53">
        <v>46129</v>
      </c>
      <c r="X15" s="57">
        <v>46129</v>
      </c>
      <c r="Y15" s="53">
        <v>46134</v>
      </c>
      <c r="Z15" s="57">
        <v>46134</v>
      </c>
      <c r="AA15" s="53">
        <v>46147</v>
      </c>
      <c r="AB15" s="57">
        <v>46147</v>
      </c>
      <c r="AC15" s="53">
        <v>46148</v>
      </c>
      <c r="AD15" s="54">
        <v>46148</v>
      </c>
      <c r="AE15" s="53">
        <v>46148</v>
      </c>
      <c r="AF15" s="54">
        <v>46148</v>
      </c>
    </row>
    <row r="16" spans="2:38" s="48" customFormat="1" ht="15" customHeight="1" x14ac:dyDescent="0.2">
      <c r="B16" s="58">
        <v>60</v>
      </c>
      <c r="C16" s="49">
        <v>13</v>
      </c>
      <c r="D16" s="49" t="s">
        <v>68</v>
      </c>
      <c r="E16" s="50" t="s">
        <v>40</v>
      </c>
      <c r="F16" s="59" t="s">
        <v>31</v>
      </c>
      <c r="G16" s="52">
        <v>46127</v>
      </c>
      <c r="H16" s="50">
        <v>46064</v>
      </c>
      <c r="I16" s="54">
        <v>46064</v>
      </c>
      <c r="J16" s="50">
        <v>46128</v>
      </c>
      <c r="K16" s="54">
        <v>46128</v>
      </c>
      <c r="L16" s="56">
        <v>64</v>
      </c>
      <c r="M16" s="53">
        <v>46129</v>
      </c>
      <c r="N16" s="57">
        <v>46129</v>
      </c>
      <c r="O16" s="53">
        <v>46130</v>
      </c>
      <c r="P16" s="54">
        <v>46130</v>
      </c>
      <c r="Q16" s="53">
        <v>46130</v>
      </c>
      <c r="R16" s="54">
        <v>46130</v>
      </c>
      <c r="S16" s="53">
        <v>46132</v>
      </c>
      <c r="T16" s="57">
        <v>46132</v>
      </c>
      <c r="U16" s="53">
        <v>46132</v>
      </c>
      <c r="V16" s="57">
        <v>46132</v>
      </c>
      <c r="W16" s="53">
        <v>46132</v>
      </c>
      <c r="X16" s="57">
        <v>46132</v>
      </c>
      <c r="Y16" s="53">
        <v>46135</v>
      </c>
      <c r="Z16" s="57">
        <v>46135</v>
      </c>
      <c r="AA16" s="53">
        <v>46165</v>
      </c>
      <c r="AB16" s="57">
        <v>46165</v>
      </c>
      <c r="AC16" s="53">
        <v>46167</v>
      </c>
      <c r="AD16" s="54">
        <v>46167</v>
      </c>
      <c r="AE16" s="53">
        <v>46167</v>
      </c>
      <c r="AF16" s="54">
        <v>46167</v>
      </c>
    </row>
    <row r="17" spans="2:32" s="48" customFormat="1" ht="15.95" customHeight="1" x14ac:dyDescent="0.2">
      <c r="B17" s="58">
        <v>10</v>
      </c>
      <c r="C17" s="49">
        <v>12</v>
      </c>
      <c r="D17" s="49" t="s">
        <v>60</v>
      </c>
      <c r="E17" s="50" t="s">
        <v>41</v>
      </c>
      <c r="F17" s="59" t="s">
        <v>28</v>
      </c>
      <c r="G17" s="52">
        <v>46122</v>
      </c>
      <c r="H17" s="55">
        <v>46093</v>
      </c>
      <c r="I17" s="54">
        <v>46093</v>
      </c>
      <c r="J17" s="55">
        <v>46125</v>
      </c>
      <c r="K17" s="54">
        <v>46125</v>
      </c>
      <c r="L17" s="56">
        <v>32</v>
      </c>
      <c r="M17" s="53">
        <v>46126</v>
      </c>
      <c r="N17" s="57">
        <v>46126</v>
      </c>
      <c r="O17" s="53">
        <v>46127</v>
      </c>
      <c r="P17" s="54">
        <v>46127</v>
      </c>
      <c r="Q17" s="53">
        <v>46127</v>
      </c>
      <c r="R17" s="54">
        <v>46127</v>
      </c>
      <c r="S17" s="53">
        <v>46128</v>
      </c>
      <c r="T17" s="57">
        <v>46128</v>
      </c>
      <c r="U17" s="53">
        <v>46128</v>
      </c>
      <c r="V17" s="57">
        <v>46128</v>
      </c>
      <c r="W17" s="53">
        <v>46128</v>
      </c>
      <c r="X17" s="57">
        <v>46128</v>
      </c>
      <c r="Y17" s="53">
        <v>46132</v>
      </c>
      <c r="Z17" s="57">
        <v>46132</v>
      </c>
      <c r="AA17" s="53">
        <v>46146</v>
      </c>
      <c r="AB17" s="57">
        <v>46146</v>
      </c>
      <c r="AC17" s="53">
        <v>46147</v>
      </c>
      <c r="AD17" s="54">
        <v>46147</v>
      </c>
      <c r="AE17" s="53">
        <v>46147</v>
      </c>
      <c r="AF17" s="54">
        <v>46147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26</v>
      </c>
      <c r="E18" s="50" t="s">
        <v>42</v>
      </c>
      <c r="F18" s="59" t="s">
        <v>28</v>
      </c>
      <c r="G18" s="52">
        <v>46125</v>
      </c>
      <c r="H18" s="55">
        <v>46094</v>
      </c>
      <c r="I18" s="54">
        <v>46094</v>
      </c>
      <c r="J18" s="55">
        <v>46126</v>
      </c>
      <c r="K18" s="54">
        <v>46126</v>
      </c>
      <c r="L18" s="56">
        <v>32</v>
      </c>
      <c r="M18" s="53">
        <v>46128</v>
      </c>
      <c r="N18" s="57">
        <v>46128</v>
      </c>
      <c r="O18" s="53">
        <v>46129</v>
      </c>
      <c r="P18" s="54">
        <v>46129</v>
      </c>
      <c r="Q18" s="53">
        <v>46132</v>
      </c>
      <c r="R18" s="54">
        <v>46132</v>
      </c>
      <c r="S18" s="53">
        <v>46133</v>
      </c>
      <c r="T18" s="57">
        <v>46133</v>
      </c>
      <c r="U18" s="53">
        <v>46133</v>
      </c>
      <c r="V18" s="57">
        <v>46133</v>
      </c>
      <c r="W18" s="53">
        <v>46133</v>
      </c>
      <c r="X18" s="57">
        <v>46133</v>
      </c>
      <c r="Y18" s="53">
        <v>46139</v>
      </c>
      <c r="Z18" s="57">
        <v>46139</v>
      </c>
      <c r="AA18" s="53">
        <v>46150</v>
      </c>
      <c r="AB18" s="57">
        <v>46150</v>
      </c>
      <c r="AC18" s="53">
        <v>46153</v>
      </c>
      <c r="AD18" s="54">
        <v>46153</v>
      </c>
      <c r="AE18" s="53">
        <v>46153</v>
      </c>
      <c r="AF18" s="54">
        <v>46153</v>
      </c>
    </row>
    <row r="19" spans="2:32" s="48" customFormat="1" ht="15.95" customHeight="1" x14ac:dyDescent="0.2">
      <c r="B19" s="58">
        <v>13</v>
      </c>
      <c r="C19" s="49">
        <v>12</v>
      </c>
      <c r="D19" s="49" t="s">
        <v>77</v>
      </c>
      <c r="E19" s="50" t="s">
        <v>43</v>
      </c>
      <c r="F19" s="59" t="s">
        <v>28</v>
      </c>
      <c r="G19" s="52">
        <v>46126</v>
      </c>
      <c r="H19" s="55">
        <v>46095</v>
      </c>
      <c r="I19" s="54">
        <v>46095</v>
      </c>
      <c r="J19" s="55">
        <v>46127</v>
      </c>
      <c r="K19" s="54">
        <v>46127</v>
      </c>
      <c r="L19" s="56">
        <v>32</v>
      </c>
      <c r="M19" s="53">
        <v>46128</v>
      </c>
      <c r="N19" s="57">
        <v>46128</v>
      </c>
      <c r="O19" s="53">
        <v>46129</v>
      </c>
      <c r="P19" s="54">
        <v>46129</v>
      </c>
      <c r="Q19" s="53">
        <v>46129</v>
      </c>
      <c r="R19" s="54">
        <v>46129</v>
      </c>
      <c r="S19" s="53">
        <v>46132</v>
      </c>
      <c r="T19" s="57">
        <v>46132</v>
      </c>
      <c r="U19" s="53">
        <v>46132</v>
      </c>
      <c r="V19" s="57">
        <v>46132</v>
      </c>
      <c r="W19" s="53">
        <v>46132</v>
      </c>
      <c r="X19" s="57">
        <v>46132</v>
      </c>
      <c r="Y19" s="53">
        <v>46134</v>
      </c>
      <c r="Z19" s="57">
        <v>46134</v>
      </c>
      <c r="AA19" s="53">
        <v>46146</v>
      </c>
      <c r="AB19" s="57">
        <v>46146</v>
      </c>
      <c r="AC19" s="53">
        <v>46147</v>
      </c>
      <c r="AD19" s="54">
        <v>46147</v>
      </c>
      <c r="AE19" s="53">
        <v>46147</v>
      </c>
      <c r="AF19" s="54">
        <v>46147</v>
      </c>
    </row>
    <row r="20" spans="2:32" s="48" customFormat="1" ht="15.95" customHeight="1" x14ac:dyDescent="0.2">
      <c r="B20" s="58">
        <v>35</v>
      </c>
      <c r="C20" s="49">
        <v>11</v>
      </c>
      <c r="D20" s="49" t="s">
        <v>26</v>
      </c>
      <c r="E20" s="50" t="s">
        <v>39</v>
      </c>
      <c r="F20" s="59" t="s">
        <v>28</v>
      </c>
      <c r="G20" s="52">
        <v>46128</v>
      </c>
      <c r="H20" s="55">
        <v>46097</v>
      </c>
      <c r="I20" s="54">
        <v>46097</v>
      </c>
      <c r="J20" s="55">
        <v>46129</v>
      </c>
      <c r="K20" s="54">
        <v>46129</v>
      </c>
      <c r="L20" s="56">
        <v>32</v>
      </c>
      <c r="M20" s="53">
        <v>46132</v>
      </c>
      <c r="N20" s="57">
        <v>46132</v>
      </c>
      <c r="O20" s="53">
        <v>46133</v>
      </c>
      <c r="P20" s="54">
        <v>46133</v>
      </c>
      <c r="Q20" s="53">
        <v>46134</v>
      </c>
      <c r="R20" s="54">
        <v>46134</v>
      </c>
      <c r="S20" s="53">
        <v>46135</v>
      </c>
      <c r="T20" s="57">
        <v>46135</v>
      </c>
      <c r="U20" s="53">
        <v>46135</v>
      </c>
      <c r="V20" s="57">
        <v>46135</v>
      </c>
      <c r="W20" s="53">
        <v>46135</v>
      </c>
      <c r="X20" s="57">
        <v>46135</v>
      </c>
      <c r="Y20" s="53">
        <v>46140</v>
      </c>
      <c r="Z20" s="57">
        <v>46140</v>
      </c>
      <c r="AA20" s="53">
        <v>46153</v>
      </c>
      <c r="AB20" s="57">
        <v>46153</v>
      </c>
      <c r="AC20" s="53">
        <v>46154</v>
      </c>
      <c r="AD20" s="54">
        <v>46154</v>
      </c>
      <c r="AE20" s="53">
        <v>46154</v>
      </c>
      <c r="AF20" s="54">
        <v>46154</v>
      </c>
    </row>
    <row r="21" spans="2:32" s="48" customFormat="1" ht="15.95" customHeight="1" x14ac:dyDescent="0.2">
      <c r="B21" s="58">
        <v>9</v>
      </c>
      <c r="C21" s="49">
        <v>11</v>
      </c>
      <c r="D21" s="49" t="s">
        <v>77</v>
      </c>
      <c r="E21" s="50" t="s">
        <v>44</v>
      </c>
      <c r="F21" s="59" t="s">
        <v>28</v>
      </c>
      <c r="G21" s="52">
        <v>46128</v>
      </c>
      <c r="H21" s="55">
        <v>46097</v>
      </c>
      <c r="I21" s="54">
        <v>46097</v>
      </c>
      <c r="J21" s="55">
        <v>46129</v>
      </c>
      <c r="K21" s="54">
        <v>46129</v>
      </c>
      <c r="L21" s="56">
        <v>32</v>
      </c>
      <c r="M21" s="53">
        <v>46132</v>
      </c>
      <c r="N21" s="57">
        <v>46132</v>
      </c>
      <c r="O21" s="53">
        <v>46133</v>
      </c>
      <c r="P21" s="54">
        <v>46133</v>
      </c>
      <c r="Q21" s="53">
        <v>46133</v>
      </c>
      <c r="R21" s="54">
        <v>46133</v>
      </c>
      <c r="S21" s="53">
        <v>46134</v>
      </c>
      <c r="T21" s="57">
        <v>46134</v>
      </c>
      <c r="U21" s="53">
        <v>46134</v>
      </c>
      <c r="V21" s="57">
        <v>46134</v>
      </c>
      <c r="W21" s="53">
        <v>46134</v>
      </c>
      <c r="X21" s="57">
        <v>46134</v>
      </c>
      <c r="Y21" s="53">
        <v>46139</v>
      </c>
      <c r="Z21" s="57">
        <v>46139</v>
      </c>
      <c r="AA21" s="53">
        <v>46150</v>
      </c>
      <c r="AB21" s="57">
        <v>46150</v>
      </c>
      <c r="AC21" s="53">
        <v>46153</v>
      </c>
      <c r="AD21" s="54">
        <v>46153</v>
      </c>
      <c r="AE21" s="53">
        <v>46153</v>
      </c>
      <c r="AF21" s="54">
        <v>46153</v>
      </c>
    </row>
    <row r="22" spans="2:32" s="1" customFormat="1" ht="15.95" customHeight="1" x14ac:dyDescent="0.2">
      <c r="B22" s="62">
        <v>66</v>
      </c>
      <c r="C22" s="15">
        <v>12</v>
      </c>
      <c r="D22" s="15" t="s">
        <v>60</v>
      </c>
      <c r="E22" s="16" t="s">
        <v>45</v>
      </c>
      <c r="F22" s="25" t="s">
        <v>31</v>
      </c>
      <c r="G22" s="18">
        <v>46129</v>
      </c>
      <c r="H22" s="21">
        <v>46070</v>
      </c>
      <c r="I22" s="20">
        <v>46070</v>
      </c>
      <c r="J22" s="55">
        <v>46130</v>
      </c>
      <c r="K22" s="54">
        <v>46130</v>
      </c>
      <c r="L22" s="22">
        <v>60</v>
      </c>
      <c r="M22" s="19">
        <v>46132</v>
      </c>
      <c r="N22" s="23">
        <v>46132</v>
      </c>
      <c r="O22" s="53">
        <v>46133</v>
      </c>
      <c r="P22" s="54">
        <v>46133</v>
      </c>
      <c r="Q22" s="19">
        <v>46133</v>
      </c>
      <c r="R22" s="20">
        <v>46133</v>
      </c>
      <c r="S22" s="19">
        <v>46134</v>
      </c>
      <c r="T22" s="23">
        <v>46134</v>
      </c>
      <c r="U22" s="19">
        <v>46134</v>
      </c>
      <c r="V22" s="23">
        <v>46134</v>
      </c>
      <c r="W22" s="19">
        <v>46134</v>
      </c>
      <c r="X22" s="23">
        <v>46134</v>
      </c>
      <c r="Y22" s="53">
        <v>46139</v>
      </c>
      <c r="Z22" s="57">
        <v>46139</v>
      </c>
      <c r="AA22" s="19">
        <v>46169</v>
      </c>
      <c r="AB22" s="23">
        <v>46169</v>
      </c>
      <c r="AC22" s="19">
        <v>46170</v>
      </c>
      <c r="AD22" s="20">
        <v>46170</v>
      </c>
      <c r="AE22" s="19">
        <v>46170</v>
      </c>
      <c r="AF22" s="20">
        <v>46170</v>
      </c>
    </row>
    <row r="23" spans="2:32" s="48" customFormat="1" ht="15.95" customHeight="1" x14ac:dyDescent="0.2">
      <c r="B23" s="58">
        <v>42</v>
      </c>
      <c r="C23" s="49">
        <v>11</v>
      </c>
      <c r="D23" s="49" t="s">
        <v>77</v>
      </c>
      <c r="E23" s="50" t="s">
        <v>39</v>
      </c>
      <c r="F23" s="59" t="s">
        <v>28</v>
      </c>
      <c r="G23" s="52">
        <v>46129</v>
      </c>
      <c r="H23" s="55">
        <v>46100</v>
      </c>
      <c r="I23" s="54">
        <v>46100</v>
      </c>
      <c r="J23" s="55">
        <v>46132</v>
      </c>
      <c r="K23" s="54">
        <v>46132</v>
      </c>
      <c r="L23" s="56">
        <v>32</v>
      </c>
      <c r="M23" s="53">
        <v>46133</v>
      </c>
      <c r="N23" s="57">
        <v>46133</v>
      </c>
      <c r="O23" s="53">
        <v>46134</v>
      </c>
      <c r="P23" s="54">
        <v>46134</v>
      </c>
      <c r="Q23" s="53">
        <v>46135</v>
      </c>
      <c r="R23" s="54">
        <v>46135</v>
      </c>
      <c r="S23" s="53">
        <v>46136</v>
      </c>
      <c r="T23" s="57">
        <v>46136</v>
      </c>
      <c r="U23" s="53">
        <v>46136</v>
      </c>
      <c r="V23" s="57">
        <v>46136</v>
      </c>
      <c r="W23" s="53">
        <v>46136</v>
      </c>
      <c r="X23" s="57">
        <v>46136</v>
      </c>
      <c r="Y23" s="53">
        <v>46141</v>
      </c>
      <c r="Z23" s="57">
        <v>46141</v>
      </c>
      <c r="AA23" s="53">
        <v>46154</v>
      </c>
      <c r="AB23" s="57">
        <v>46154</v>
      </c>
      <c r="AC23" s="53">
        <v>46155</v>
      </c>
      <c r="AD23" s="54">
        <v>46155</v>
      </c>
      <c r="AE23" s="53">
        <v>46155</v>
      </c>
      <c r="AF23" s="54">
        <v>46155</v>
      </c>
    </row>
    <row r="24" spans="2:32" s="48" customFormat="1" ht="15.95" customHeight="1" x14ac:dyDescent="0.2">
      <c r="B24" s="58">
        <v>47</v>
      </c>
      <c r="C24" s="49">
        <v>11</v>
      </c>
      <c r="D24" s="49" t="s">
        <v>68</v>
      </c>
      <c r="E24" s="50" t="s">
        <v>39</v>
      </c>
      <c r="F24" s="59" t="s">
        <v>28</v>
      </c>
      <c r="G24" s="52">
        <v>46132</v>
      </c>
      <c r="H24" s="55">
        <v>46101</v>
      </c>
      <c r="I24" s="54">
        <v>46101</v>
      </c>
      <c r="J24" s="55">
        <v>46133</v>
      </c>
      <c r="K24" s="54">
        <v>46133</v>
      </c>
      <c r="L24" s="56">
        <v>32</v>
      </c>
      <c r="M24" s="53">
        <v>46134</v>
      </c>
      <c r="N24" s="57">
        <v>46134</v>
      </c>
      <c r="O24" s="53">
        <v>46135</v>
      </c>
      <c r="P24" s="54">
        <v>46135</v>
      </c>
      <c r="Q24" s="53">
        <v>46136</v>
      </c>
      <c r="R24" s="54">
        <v>46136</v>
      </c>
      <c r="S24" s="53">
        <v>46139</v>
      </c>
      <c r="T24" s="57">
        <v>46139</v>
      </c>
      <c r="U24" s="53">
        <v>46139</v>
      </c>
      <c r="V24" s="57">
        <v>46139</v>
      </c>
      <c r="W24" s="53">
        <v>46139</v>
      </c>
      <c r="X24" s="57">
        <v>46139</v>
      </c>
      <c r="Y24" s="53">
        <v>46142</v>
      </c>
      <c r="Z24" s="57">
        <v>46142</v>
      </c>
      <c r="AA24" s="53">
        <v>46156</v>
      </c>
      <c r="AB24" s="57">
        <v>46156</v>
      </c>
      <c r="AC24" s="53">
        <v>46157</v>
      </c>
      <c r="AD24" s="54">
        <v>46157</v>
      </c>
      <c r="AE24" s="53">
        <v>46157</v>
      </c>
      <c r="AF24" s="54">
        <v>46157</v>
      </c>
    </row>
    <row r="25" spans="2:32" s="48" customFormat="1" ht="15.95" customHeight="1" x14ac:dyDescent="0.2">
      <c r="B25" s="58">
        <v>49</v>
      </c>
      <c r="C25" s="49">
        <v>11</v>
      </c>
      <c r="D25" s="49" t="s">
        <v>26</v>
      </c>
      <c r="E25" s="50" t="s">
        <v>39</v>
      </c>
      <c r="F25" s="59" t="s">
        <v>28</v>
      </c>
      <c r="G25" s="52">
        <v>46133</v>
      </c>
      <c r="H25" s="55">
        <v>46102</v>
      </c>
      <c r="I25" s="54">
        <v>46102</v>
      </c>
      <c r="J25" s="55">
        <v>46134</v>
      </c>
      <c r="K25" s="54">
        <v>46134</v>
      </c>
      <c r="L25" s="56">
        <v>32</v>
      </c>
      <c r="M25" s="53">
        <v>46135</v>
      </c>
      <c r="N25" s="57">
        <v>46135</v>
      </c>
      <c r="O25" s="53">
        <v>46136</v>
      </c>
      <c r="P25" s="54">
        <v>46136</v>
      </c>
      <c r="Q25" s="53">
        <v>46139</v>
      </c>
      <c r="R25" s="54">
        <v>46139</v>
      </c>
      <c r="S25" s="53">
        <v>46140</v>
      </c>
      <c r="T25" s="57">
        <v>46140</v>
      </c>
      <c r="U25" s="53">
        <v>46140</v>
      </c>
      <c r="V25" s="57">
        <v>46140</v>
      </c>
      <c r="W25" s="53">
        <v>46140</v>
      </c>
      <c r="X25" s="57">
        <v>46140</v>
      </c>
      <c r="Y25" s="53">
        <v>46144</v>
      </c>
      <c r="Z25" s="57">
        <v>46144</v>
      </c>
      <c r="AA25" s="53">
        <v>46155</v>
      </c>
      <c r="AB25" s="57">
        <v>46155</v>
      </c>
      <c r="AC25" s="53">
        <v>46156</v>
      </c>
      <c r="AD25" s="54">
        <v>46156</v>
      </c>
      <c r="AE25" s="53">
        <v>46156</v>
      </c>
      <c r="AF25" s="54">
        <v>46156</v>
      </c>
    </row>
    <row r="26" spans="2:32" s="48" customFormat="1" ht="15.95" customHeight="1" x14ac:dyDescent="0.2">
      <c r="B26" s="58">
        <v>51</v>
      </c>
      <c r="C26" s="49">
        <v>11</v>
      </c>
      <c r="D26" s="49" t="s">
        <v>68</v>
      </c>
      <c r="E26" s="50" t="s">
        <v>39</v>
      </c>
      <c r="F26" s="59" t="s">
        <v>28</v>
      </c>
      <c r="G26" s="52">
        <v>46134</v>
      </c>
      <c r="H26" s="55">
        <v>46105</v>
      </c>
      <c r="I26" s="54">
        <v>46105</v>
      </c>
      <c r="J26" s="55">
        <v>46135</v>
      </c>
      <c r="K26" s="54">
        <v>46135</v>
      </c>
      <c r="L26" s="56">
        <v>30</v>
      </c>
      <c r="M26" s="53">
        <v>46139</v>
      </c>
      <c r="N26" s="57">
        <v>46139</v>
      </c>
      <c r="O26" s="53">
        <v>46140</v>
      </c>
      <c r="P26" s="54">
        <v>46140</v>
      </c>
      <c r="Q26" s="53">
        <v>46141</v>
      </c>
      <c r="R26" s="54">
        <v>46141</v>
      </c>
      <c r="S26" s="53">
        <v>46142</v>
      </c>
      <c r="T26" s="57">
        <v>46142</v>
      </c>
      <c r="U26" s="53">
        <v>46142</v>
      </c>
      <c r="V26" s="57">
        <v>46142</v>
      </c>
      <c r="W26" s="53">
        <v>46142</v>
      </c>
      <c r="X26" s="57">
        <v>46142</v>
      </c>
      <c r="Y26" s="53">
        <v>46146</v>
      </c>
      <c r="Z26" s="57">
        <v>46146</v>
      </c>
      <c r="AA26" s="53">
        <v>46157</v>
      </c>
      <c r="AB26" s="57">
        <v>46157</v>
      </c>
      <c r="AC26" s="53">
        <v>46161</v>
      </c>
      <c r="AD26" s="54">
        <v>46161</v>
      </c>
      <c r="AE26" s="53">
        <v>46161</v>
      </c>
      <c r="AF26" s="54">
        <v>46161</v>
      </c>
    </row>
    <row r="27" spans="2:32" s="1" customFormat="1" ht="15.95" customHeight="1" x14ac:dyDescent="0.2">
      <c r="B27" s="62">
        <v>67</v>
      </c>
      <c r="C27" s="15">
        <v>12</v>
      </c>
      <c r="D27" s="15" t="s">
        <v>77</v>
      </c>
      <c r="E27" s="16" t="s">
        <v>43</v>
      </c>
      <c r="F27" s="25" t="s">
        <v>31</v>
      </c>
      <c r="G27" s="18">
        <v>46134</v>
      </c>
      <c r="H27" s="21">
        <v>46074</v>
      </c>
      <c r="I27" s="20">
        <v>46074</v>
      </c>
      <c r="J27" s="55">
        <v>46135</v>
      </c>
      <c r="K27" s="54">
        <v>46135</v>
      </c>
      <c r="L27" s="22">
        <v>61</v>
      </c>
      <c r="M27" s="19">
        <v>46136</v>
      </c>
      <c r="N27" s="23">
        <v>46136</v>
      </c>
      <c r="O27" s="53">
        <v>46137</v>
      </c>
      <c r="P27" s="54">
        <v>46137</v>
      </c>
      <c r="Q27" s="19">
        <v>46137</v>
      </c>
      <c r="R27" s="20">
        <v>46137</v>
      </c>
      <c r="S27" s="19">
        <v>46139</v>
      </c>
      <c r="T27" s="23">
        <v>46139</v>
      </c>
      <c r="U27" s="19">
        <v>46139</v>
      </c>
      <c r="V27" s="23">
        <v>46139</v>
      </c>
      <c r="W27" s="19">
        <v>46139</v>
      </c>
      <c r="X27" s="23">
        <v>46139</v>
      </c>
      <c r="Y27" s="53">
        <v>46141</v>
      </c>
      <c r="Z27" s="57">
        <v>46141</v>
      </c>
      <c r="AA27" s="19">
        <v>46171</v>
      </c>
      <c r="AB27" s="23">
        <v>46171</v>
      </c>
      <c r="AC27" s="19">
        <v>46174</v>
      </c>
      <c r="AD27" s="20">
        <v>46174</v>
      </c>
      <c r="AE27" s="19">
        <v>46174</v>
      </c>
      <c r="AF27" s="20">
        <v>46174</v>
      </c>
    </row>
    <row r="28" spans="2:32" s="48" customFormat="1" ht="15.95" customHeight="1" x14ac:dyDescent="0.2">
      <c r="B28" s="58">
        <v>53</v>
      </c>
      <c r="C28" s="49">
        <v>11</v>
      </c>
      <c r="D28" s="49" t="s">
        <v>78</v>
      </c>
      <c r="E28" s="50" t="s">
        <v>39</v>
      </c>
      <c r="F28" s="59" t="s">
        <v>28</v>
      </c>
      <c r="G28" s="52">
        <v>46135</v>
      </c>
      <c r="H28" s="55">
        <v>46106</v>
      </c>
      <c r="I28" s="54">
        <v>46106</v>
      </c>
      <c r="J28" s="55">
        <v>46136</v>
      </c>
      <c r="K28" s="54">
        <v>46136</v>
      </c>
      <c r="L28" s="56">
        <v>30</v>
      </c>
      <c r="M28" s="53">
        <v>46139</v>
      </c>
      <c r="N28" s="57">
        <v>46139</v>
      </c>
      <c r="O28" s="53">
        <v>46140</v>
      </c>
      <c r="P28" s="54">
        <v>46140</v>
      </c>
      <c r="Q28" s="53">
        <v>46141</v>
      </c>
      <c r="R28" s="54">
        <v>46141</v>
      </c>
      <c r="S28" s="53">
        <v>46142</v>
      </c>
      <c r="T28" s="57">
        <v>46142</v>
      </c>
      <c r="U28" s="53">
        <v>46142</v>
      </c>
      <c r="V28" s="57">
        <v>46142</v>
      </c>
      <c r="W28" s="53">
        <v>46142</v>
      </c>
      <c r="X28" s="57">
        <v>46142</v>
      </c>
      <c r="Y28" s="53">
        <v>46148</v>
      </c>
      <c r="Z28" s="57">
        <v>46148</v>
      </c>
      <c r="AA28" s="53">
        <v>46164</v>
      </c>
      <c r="AB28" s="57">
        <v>46164</v>
      </c>
      <c r="AC28" s="53">
        <v>46167</v>
      </c>
      <c r="AD28" s="54">
        <v>46167</v>
      </c>
      <c r="AE28" s="53">
        <v>46167</v>
      </c>
      <c r="AF28" s="54">
        <v>46167</v>
      </c>
    </row>
    <row r="29" spans="2:32" s="1" customFormat="1" ht="15.95" customHeight="1" x14ac:dyDescent="0.25">
      <c r="B29" s="24">
        <v>69</v>
      </c>
      <c r="C29" s="15">
        <v>11</v>
      </c>
      <c r="D29" s="15" t="s">
        <v>68</v>
      </c>
      <c r="E29" s="16" t="s">
        <v>39</v>
      </c>
      <c r="F29" s="25" t="s">
        <v>31</v>
      </c>
      <c r="G29" s="18">
        <v>46136</v>
      </c>
      <c r="H29" s="21">
        <v>46077</v>
      </c>
      <c r="I29" s="20">
        <v>46077</v>
      </c>
      <c r="J29" s="55">
        <v>46137</v>
      </c>
      <c r="K29" s="54">
        <v>46137</v>
      </c>
      <c r="L29" s="22">
        <v>60</v>
      </c>
      <c r="M29" s="19">
        <v>46139</v>
      </c>
      <c r="N29" s="23">
        <v>46139</v>
      </c>
      <c r="O29" s="53">
        <v>46140</v>
      </c>
      <c r="P29" s="54">
        <v>46140</v>
      </c>
      <c r="Q29" s="19">
        <v>46140</v>
      </c>
      <c r="R29" s="20">
        <v>46140</v>
      </c>
      <c r="S29" s="19">
        <v>46141</v>
      </c>
      <c r="T29" s="23">
        <v>46141</v>
      </c>
      <c r="U29" s="19">
        <v>46141</v>
      </c>
      <c r="V29" s="23">
        <v>46141</v>
      </c>
      <c r="W29" s="19">
        <v>46141</v>
      </c>
      <c r="X29" s="23">
        <v>46141</v>
      </c>
      <c r="Y29" s="53">
        <v>46144</v>
      </c>
      <c r="Z29" s="57">
        <v>46144</v>
      </c>
      <c r="AA29" s="19">
        <v>46175</v>
      </c>
      <c r="AB29" s="23">
        <v>46175</v>
      </c>
      <c r="AC29" s="19">
        <v>46176</v>
      </c>
      <c r="AD29" s="20">
        <v>46176</v>
      </c>
      <c r="AE29" s="19">
        <v>46176</v>
      </c>
      <c r="AF29" s="20">
        <v>46176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46113</v>
      </c>
      <c r="H30" s="19">
        <v>46091</v>
      </c>
      <c r="I30" s="20">
        <v>46091</v>
      </c>
      <c r="J30" s="55">
        <v>46118</v>
      </c>
      <c r="K30" s="54">
        <v>46118</v>
      </c>
      <c r="L30" s="56">
        <v>27</v>
      </c>
      <c r="M30" s="19">
        <v>46118</v>
      </c>
      <c r="N30" s="23">
        <v>46118</v>
      </c>
      <c r="O30" s="19">
        <v>46118</v>
      </c>
      <c r="P30" s="23">
        <v>46118</v>
      </c>
      <c r="Q30" s="19">
        <v>46118</v>
      </c>
      <c r="R30" s="20">
        <v>46118</v>
      </c>
      <c r="S30" s="19">
        <v>46118</v>
      </c>
      <c r="T30" s="20">
        <v>46118</v>
      </c>
      <c r="U30" s="19">
        <v>46118</v>
      </c>
      <c r="V30" s="20">
        <v>46118</v>
      </c>
      <c r="W30" s="19">
        <v>46118</v>
      </c>
      <c r="X30" s="20">
        <v>46118</v>
      </c>
      <c r="Y30" s="19">
        <v>46118</v>
      </c>
      <c r="Z30" s="23">
        <v>46118</v>
      </c>
      <c r="AA30" s="19">
        <v>46142</v>
      </c>
      <c r="AB30" s="20">
        <v>46142</v>
      </c>
      <c r="AC30" s="19">
        <v>46146</v>
      </c>
      <c r="AD30" s="20">
        <v>46146</v>
      </c>
      <c r="AE30" s="19">
        <v>46146</v>
      </c>
      <c r="AF30" s="20">
        <v>46146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46113</v>
      </c>
      <c r="H31" s="19">
        <v>46091</v>
      </c>
      <c r="I31" s="20">
        <v>46091</v>
      </c>
      <c r="J31" s="55">
        <v>46118</v>
      </c>
      <c r="K31" s="54">
        <v>46118</v>
      </c>
      <c r="L31" s="56">
        <v>27</v>
      </c>
      <c r="M31" s="19">
        <v>46118</v>
      </c>
      <c r="N31" s="23">
        <v>46118</v>
      </c>
      <c r="O31" s="19">
        <v>46118</v>
      </c>
      <c r="P31" s="23">
        <v>46118</v>
      </c>
      <c r="Q31" s="19">
        <v>46118</v>
      </c>
      <c r="R31" s="20">
        <v>46118</v>
      </c>
      <c r="S31" s="19">
        <v>46118</v>
      </c>
      <c r="T31" s="20">
        <v>46118</v>
      </c>
      <c r="U31" s="19">
        <v>46118</v>
      </c>
      <c r="V31" s="20">
        <v>46118</v>
      </c>
      <c r="W31" s="19">
        <v>46118</v>
      </c>
      <c r="X31" s="20">
        <v>46118</v>
      </c>
      <c r="Y31" s="19">
        <v>46118</v>
      </c>
      <c r="Z31" s="23">
        <v>46118</v>
      </c>
      <c r="AA31" s="19">
        <v>46142</v>
      </c>
      <c r="AB31" s="20">
        <v>46142</v>
      </c>
      <c r="AC31" s="19">
        <v>46146</v>
      </c>
      <c r="AD31" s="20">
        <v>46146</v>
      </c>
      <c r="AE31" s="19">
        <v>46146</v>
      </c>
      <c r="AF31" s="20">
        <v>46146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46113</v>
      </c>
      <c r="H32" s="19">
        <v>46091</v>
      </c>
      <c r="I32" s="20">
        <v>46091</v>
      </c>
      <c r="J32" s="55">
        <v>46118</v>
      </c>
      <c r="K32" s="54">
        <v>46118</v>
      </c>
      <c r="L32" s="56">
        <v>27</v>
      </c>
      <c r="M32" s="19">
        <v>46118</v>
      </c>
      <c r="N32" s="23">
        <v>46118</v>
      </c>
      <c r="O32" s="19">
        <v>46118</v>
      </c>
      <c r="P32" s="23">
        <v>46118</v>
      </c>
      <c r="Q32" s="19">
        <v>46118</v>
      </c>
      <c r="R32" s="20">
        <v>46118</v>
      </c>
      <c r="S32" s="19">
        <v>46118</v>
      </c>
      <c r="T32" s="20">
        <v>46118</v>
      </c>
      <c r="U32" s="19">
        <v>46118</v>
      </c>
      <c r="V32" s="20">
        <v>46118</v>
      </c>
      <c r="W32" s="19">
        <v>46118</v>
      </c>
      <c r="X32" s="20">
        <v>46118</v>
      </c>
      <c r="Y32" s="19">
        <v>46118</v>
      </c>
      <c r="Z32" s="23">
        <v>46118</v>
      </c>
      <c r="AA32" s="19">
        <v>46142</v>
      </c>
      <c r="AB32" s="20">
        <v>46142</v>
      </c>
      <c r="AC32" s="19">
        <v>46146</v>
      </c>
      <c r="AD32" s="20">
        <v>46146</v>
      </c>
      <c r="AE32" s="19">
        <v>46146</v>
      </c>
      <c r="AF32" s="20">
        <v>46146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46121</v>
      </c>
      <c r="H33" s="19">
        <v>46091</v>
      </c>
      <c r="I33" s="20">
        <v>46091</v>
      </c>
      <c r="J33" s="55">
        <v>46122</v>
      </c>
      <c r="K33" s="54">
        <v>46122</v>
      </c>
      <c r="L33" s="22">
        <v>31</v>
      </c>
      <c r="M33" s="19">
        <v>46122</v>
      </c>
      <c r="N33" s="23">
        <v>46122</v>
      </c>
      <c r="O33" s="19">
        <v>46122</v>
      </c>
      <c r="P33" s="23">
        <v>46122</v>
      </c>
      <c r="Q33" s="19">
        <v>46122</v>
      </c>
      <c r="R33" s="20">
        <v>46122</v>
      </c>
      <c r="S33" s="19">
        <v>46122</v>
      </c>
      <c r="T33" s="20">
        <v>46122</v>
      </c>
      <c r="U33" s="19">
        <v>46122</v>
      </c>
      <c r="V33" s="20">
        <v>46122</v>
      </c>
      <c r="W33" s="19">
        <v>46122</v>
      </c>
      <c r="X33" s="20">
        <v>46122</v>
      </c>
      <c r="Y33" s="19">
        <v>46122</v>
      </c>
      <c r="Z33" s="23">
        <v>46122</v>
      </c>
      <c r="AA33" s="19">
        <v>46129</v>
      </c>
      <c r="AB33" s="20">
        <v>46129</v>
      </c>
      <c r="AC33" s="19">
        <v>46132</v>
      </c>
      <c r="AD33" s="20">
        <v>46132</v>
      </c>
      <c r="AE33" s="19">
        <v>46132</v>
      </c>
      <c r="AF33" s="20">
        <v>46132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46121</v>
      </c>
      <c r="H34" s="19">
        <v>46091</v>
      </c>
      <c r="I34" s="20">
        <v>46091</v>
      </c>
      <c r="J34" s="55">
        <v>46122</v>
      </c>
      <c r="K34" s="54">
        <v>46122</v>
      </c>
      <c r="L34" s="22">
        <v>31</v>
      </c>
      <c r="M34" s="19">
        <v>46122</v>
      </c>
      <c r="N34" s="23">
        <v>46122</v>
      </c>
      <c r="O34" s="19">
        <v>46122</v>
      </c>
      <c r="P34" s="23">
        <v>46122</v>
      </c>
      <c r="Q34" s="19">
        <v>46122</v>
      </c>
      <c r="R34" s="20">
        <v>46122</v>
      </c>
      <c r="S34" s="19">
        <v>46122</v>
      </c>
      <c r="T34" s="20">
        <v>46122</v>
      </c>
      <c r="U34" s="19">
        <v>46122</v>
      </c>
      <c r="V34" s="20">
        <v>46122</v>
      </c>
      <c r="W34" s="19">
        <v>46122</v>
      </c>
      <c r="X34" s="20">
        <v>46122</v>
      </c>
      <c r="Y34" s="19">
        <v>46122</v>
      </c>
      <c r="Z34" s="23">
        <v>46122</v>
      </c>
      <c r="AA34" s="19">
        <v>46129</v>
      </c>
      <c r="AB34" s="20">
        <v>46129</v>
      </c>
      <c r="AC34" s="19">
        <v>46132</v>
      </c>
      <c r="AD34" s="20">
        <v>46132</v>
      </c>
      <c r="AE34" s="19">
        <v>46132</v>
      </c>
      <c r="AF34" s="20">
        <v>46132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46122</v>
      </c>
      <c r="H35" s="19">
        <v>46094</v>
      </c>
      <c r="I35" s="20">
        <v>46094</v>
      </c>
      <c r="J35" s="55">
        <v>46125</v>
      </c>
      <c r="K35" s="54">
        <v>46125</v>
      </c>
      <c r="L35" s="22">
        <v>31</v>
      </c>
      <c r="M35" s="19">
        <v>46125</v>
      </c>
      <c r="N35" s="23">
        <v>46125</v>
      </c>
      <c r="O35" s="19">
        <v>46125</v>
      </c>
      <c r="P35" s="23">
        <v>46125</v>
      </c>
      <c r="Q35" s="19">
        <v>46125</v>
      </c>
      <c r="R35" s="20">
        <v>46125</v>
      </c>
      <c r="S35" s="19">
        <v>46125</v>
      </c>
      <c r="T35" s="20">
        <v>46125</v>
      </c>
      <c r="U35" s="19">
        <v>46125</v>
      </c>
      <c r="V35" s="20">
        <v>46125</v>
      </c>
      <c r="W35" s="19">
        <v>46125</v>
      </c>
      <c r="X35" s="20">
        <v>46125</v>
      </c>
      <c r="Y35" s="19">
        <v>46125</v>
      </c>
      <c r="Z35" s="23">
        <v>46125</v>
      </c>
      <c r="AA35" s="19">
        <v>46155</v>
      </c>
      <c r="AB35" s="20">
        <v>46155</v>
      </c>
      <c r="AC35" s="19">
        <v>46156</v>
      </c>
      <c r="AD35" s="20">
        <v>46156</v>
      </c>
      <c r="AE35" s="19">
        <v>46156</v>
      </c>
      <c r="AF35" s="20">
        <v>46156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46122</v>
      </c>
      <c r="H36" s="19">
        <v>46094</v>
      </c>
      <c r="I36" s="20">
        <v>46094</v>
      </c>
      <c r="J36" s="55">
        <v>46125</v>
      </c>
      <c r="K36" s="54">
        <v>46125</v>
      </c>
      <c r="L36" s="22">
        <v>31</v>
      </c>
      <c r="M36" s="19">
        <v>46125</v>
      </c>
      <c r="N36" s="23">
        <v>46125</v>
      </c>
      <c r="O36" s="19">
        <v>46125</v>
      </c>
      <c r="P36" s="23">
        <v>46125</v>
      </c>
      <c r="Q36" s="19">
        <v>46125</v>
      </c>
      <c r="R36" s="20">
        <v>46125</v>
      </c>
      <c r="S36" s="19">
        <v>46125</v>
      </c>
      <c r="T36" s="20">
        <v>46125</v>
      </c>
      <c r="U36" s="19">
        <v>46125</v>
      </c>
      <c r="V36" s="20">
        <v>46125</v>
      </c>
      <c r="W36" s="19">
        <v>46125</v>
      </c>
      <c r="X36" s="20">
        <v>46125</v>
      </c>
      <c r="Y36" s="19">
        <v>46125</v>
      </c>
      <c r="Z36" s="23">
        <v>46125</v>
      </c>
      <c r="AA36" s="19">
        <v>46146</v>
      </c>
      <c r="AB36" s="20">
        <v>46146</v>
      </c>
      <c r="AC36" s="19">
        <v>46147</v>
      </c>
      <c r="AD36" s="20">
        <v>46147</v>
      </c>
      <c r="AE36" s="19">
        <v>46147</v>
      </c>
      <c r="AF36" s="20">
        <v>46147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46126</v>
      </c>
      <c r="H37" s="19">
        <v>46097</v>
      </c>
      <c r="I37" s="20">
        <v>46097</v>
      </c>
      <c r="J37" s="55">
        <v>46127</v>
      </c>
      <c r="K37" s="54">
        <v>46127</v>
      </c>
      <c r="L37" s="22">
        <v>30</v>
      </c>
      <c r="M37" s="19">
        <v>46127</v>
      </c>
      <c r="N37" s="23">
        <v>46127</v>
      </c>
      <c r="O37" s="19">
        <v>46127</v>
      </c>
      <c r="P37" s="23">
        <v>46127</v>
      </c>
      <c r="Q37" s="19">
        <v>46127</v>
      </c>
      <c r="R37" s="20">
        <v>46127</v>
      </c>
      <c r="S37" s="19">
        <v>46127</v>
      </c>
      <c r="T37" s="20">
        <v>46127</v>
      </c>
      <c r="U37" s="19">
        <v>46127</v>
      </c>
      <c r="V37" s="20">
        <v>46127</v>
      </c>
      <c r="W37" s="19">
        <v>46127</v>
      </c>
      <c r="X37" s="20">
        <v>46127</v>
      </c>
      <c r="Y37" s="19">
        <v>46127</v>
      </c>
      <c r="Z37" s="23">
        <v>46127</v>
      </c>
      <c r="AA37" s="19">
        <v>46136</v>
      </c>
      <c r="AB37" s="20">
        <v>46136</v>
      </c>
      <c r="AC37" s="19">
        <v>46139</v>
      </c>
      <c r="AD37" s="20">
        <v>46139</v>
      </c>
      <c r="AE37" s="19">
        <v>46139</v>
      </c>
      <c r="AF37" s="20">
        <v>46139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46126</v>
      </c>
      <c r="H38" s="19">
        <v>46097</v>
      </c>
      <c r="I38" s="20">
        <v>46097</v>
      </c>
      <c r="J38" s="55">
        <v>46127</v>
      </c>
      <c r="K38" s="54">
        <v>46127</v>
      </c>
      <c r="L38" s="22">
        <v>30</v>
      </c>
      <c r="M38" s="19">
        <v>46127</v>
      </c>
      <c r="N38" s="23">
        <v>46127</v>
      </c>
      <c r="O38" s="19">
        <v>46127</v>
      </c>
      <c r="P38" s="23">
        <v>46127</v>
      </c>
      <c r="Q38" s="19">
        <v>46127</v>
      </c>
      <c r="R38" s="20">
        <v>46127</v>
      </c>
      <c r="S38" s="19">
        <v>46127</v>
      </c>
      <c r="T38" s="20">
        <v>46127</v>
      </c>
      <c r="U38" s="19">
        <v>46127</v>
      </c>
      <c r="V38" s="20">
        <v>46127</v>
      </c>
      <c r="W38" s="19">
        <v>46127</v>
      </c>
      <c r="X38" s="20">
        <v>46127</v>
      </c>
      <c r="Y38" s="19">
        <v>46127</v>
      </c>
      <c r="Z38" s="23">
        <v>46127</v>
      </c>
      <c r="AA38" s="19">
        <v>46136</v>
      </c>
      <c r="AB38" s="20">
        <v>46136</v>
      </c>
      <c r="AC38" s="19">
        <v>46139</v>
      </c>
      <c r="AD38" s="20">
        <v>46139</v>
      </c>
      <c r="AE38" s="19">
        <v>46139</v>
      </c>
      <c r="AF38" s="20">
        <v>46139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46126</v>
      </c>
      <c r="H39" s="19">
        <v>46097</v>
      </c>
      <c r="I39" s="20">
        <v>46097</v>
      </c>
      <c r="J39" s="55">
        <v>46127</v>
      </c>
      <c r="K39" s="54">
        <v>46127</v>
      </c>
      <c r="L39" s="22">
        <v>30</v>
      </c>
      <c r="M39" s="19">
        <v>46127</v>
      </c>
      <c r="N39" s="23">
        <v>46127</v>
      </c>
      <c r="O39" s="19">
        <v>46127</v>
      </c>
      <c r="P39" s="23">
        <v>46127</v>
      </c>
      <c r="Q39" s="19">
        <v>46127</v>
      </c>
      <c r="R39" s="20">
        <v>46127</v>
      </c>
      <c r="S39" s="19">
        <v>46127</v>
      </c>
      <c r="T39" s="20">
        <v>46127</v>
      </c>
      <c r="U39" s="19">
        <v>46127</v>
      </c>
      <c r="V39" s="20">
        <v>46127</v>
      </c>
      <c r="W39" s="19">
        <v>46127</v>
      </c>
      <c r="X39" s="20">
        <v>46127</v>
      </c>
      <c r="Y39" s="19">
        <v>46127</v>
      </c>
      <c r="Z39" s="23">
        <v>46127</v>
      </c>
      <c r="AA39" s="19">
        <v>46153</v>
      </c>
      <c r="AB39" s="20">
        <v>46153</v>
      </c>
      <c r="AC39" s="19">
        <v>46154</v>
      </c>
      <c r="AD39" s="20">
        <v>46154</v>
      </c>
      <c r="AE39" s="19">
        <v>46154</v>
      </c>
      <c r="AF39" s="20">
        <v>46154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46127</v>
      </c>
      <c r="H40" s="19">
        <v>46098</v>
      </c>
      <c r="I40" s="20">
        <v>46098</v>
      </c>
      <c r="J40" s="55">
        <v>46128</v>
      </c>
      <c r="K40" s="54">
        <v>46128</v>
      </c>
      <c r="L40" s="22">
        <v>30</v>
      </c>
      <c r="M40" s="19">
        <v>46128</v>
      </c>
      <c r="N40" s="23">
        <v>46128</v>
      </c>
      <c r="O40" s="19">
        <v>46128</v>
      </c>
      <c r="P40" s="23">
        <v>46128</v>
      </c>
      <c r="Q40" s="19">
        <v>46128</v>
      </c>
      <c r="R40" s="20">
        <v>46128</v>
      </c>
      <c r="S40" s="19">
        <v>46128</v>
      </c>
      <c r="T40" s="20">
        <v>46128</v>
      </c>
      <c r="U40" s="19">
        <v>46128</v>
      </c>
      <c r="V40" s="20">
        <v>46128</v>
      </c>
      <c r="W40" s="19">
        <v>46128</v>
      </c>
      <c r="X40" s="20">
        <v>46128</v>
      </c>
      <c r="Y40" s="19">
        <v>46128</v>
      </c>
      <c r="Z40" s="23">
        <v>46128</v>
      </c>
      <c r="AA40" s="19">
        <v>46153</v>
      </c>
      <c r="AB40" s="20">
        <v>46153</v>
      </c>
      <c r="AC40" s="19">
        <v>46154</v>
      </c>
      <c r="AD40" s="20">
        <v>46154</v>
      </c>
      <c r="AE40" s="19">
        <v>46154</v>
      </c>
      <c r="AF40" s="20">
        <v>46154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76</v>
      </c>
      <c r="E41" s="32" t="s">
        <v>63</v>
      </c>
      <c r="F41" s="25" t="s">
        <v>28</v>
      </c>
      <c r="G41" s="18">
        <v>46129</v>
      </c>
      <c r="H41" s="19">
        <v>46101</v>
      </c>
      <c r="I41" s="20">
        <v>46101</v>
      </c>
      <c r="J41" s="55">
        <v>46132</v>
      </c>
      <c r="K41" s="54">
        <v>46132</v>
      </c>
      <c r="L41" s="22">
        <v>31</v>
      </c>
      <c r="M41" s="19">
        <v>46132</v>
      </c>
      <c r="N41" s="23">
        <v>46132</v>
      </c>
      <c r="O41" s="19">
        <v>46132</v>
      </c>
      <c r="P41" s="23">
        <v>46132</v>
      </c>
      <c r="Q41" s="19">
        <v>46132</v>
      </c>
      <c r="R41" s="20">
        <v>46132</v>
      </c>
      <c r="S41" s="19">
        <v>46132</v>
      </c>
      <c r="T41" s="20">
        <v>46132</v>
      </c>
      <c r="U41" s="19">
        <v>46132</v>
      </c>
      <c r="V41" s="20">
        <v>46132</v>
      </c>
      <c r="W41" s="19">
        <v>46132</v>
      </c>
      <c r="X41" s="20">
        <v>46132</v>
      </c>
      <c r="Y41" s="19">
        <v>46132</v>
      </c>
      <c r="Z41" s="23">
        <v>46132</v>
      </c>
      <c r="AA41" s="19">
        <v>46157</v>
      </c>
      <c r="AB41" s="20">
        <v>46157</v>
      </c>
      <c r="AC41" s="19">
        <v>46161</v>
      </c>
      <c r="AD41" s="20">
        <v>46161</v>
      </c>
      <c r="AE41" s="19">
        <v>46161</v>
      </c>
      <c r="AF41" s="20">
        <v>46161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46135</v>
      </c>
      <c r="H42" s="19">
        <v>46105</v>
      </c>
      <c r="I42" s="20">
        <v>46105</v>
      </c>
      <c r="J42" s="55">
        <v>46136</v>
      </c>
      <c r="K42" s="54">
        <v>46136</v>
      </c>
      <c r="L42" s="22">
        <v>31</v>
      </c>
      <c r="M42" s="19">
        <v>46136</v>
      </c>
      <c r="N42" s="23">
        <v>46136</v>
      </c>
      <c r="O42" s="19">
        <v>46136</v>
      </c>
      <c r="P42" s="23">
        <v>46136</v>
      </c>
      <c r="Q42" s="19">
        <v>46136</v>
      </c>
      <c r="R42" s="20">
        <v>46136</v>
      </c>
      <c r="S42" s="19">
        <v>46136</v>
      </c>
      <c r="T42" s="20">
        <v>46136</v>
      </c>
      <c r="U42" s="19">
        <v>46136</v>
      </c>
      <c r="V42" s="20">
        <v>46136</v>
      </c>
      <c r="W42" s="19">
        <v>46136</v>
      </c>
      <c r="X42" s="20">
        <v>46136</v>
      </c>
      <c r="Y42" s="19">
        <v>46136</v>
      </c>
      <c r="Z42" s="23">
        <v>46136</v>
      </c>
      <c r="AA42" s="19">
        <v>46162</v>
      </c>
      <c r="AB42" s="20">
        <v>46162</v>
      </c>
      <c r="AC42" s="19">
        <v>46163</v>
      </c>
      <c r="AD42" s="20">
        <v>46163</v>
      </c>
      <c r="AE42" s="19">
        <v>46163</v>
      </c>
      <c r="AF42" s="20">
        <v>46163</v>
      </c>
    </row>
    <row r="43" spans="2:32" s="1" customFormat="1" ht="15.95" customHeight="1" x14ac:dyDescent="0.25">
      <c r="B43" s="29">
        <v>95</v>
      </c>
      <c r="C43" s="30" t="s">
        <v>46</v>
      </c>
      <c r="D43" s="31" t="s">
        <v>60</v>
      </c>
      <c r="E43" s="32" t="s">
        <v>65</v>
      </c>
      <c r="F43" s="25" t="s">
        <v>28</v>
      </c>
      <c r="G43" s="18">
        <v>46140</v>
      </c>
      <c r="H43" s="19">
        <v>46111</v>
      </c>
      <c r="I43" s="20">
        <v>46111</v>
      </c>
      <c r="J43" s="55">
        <v>46141</v>
      </c>
      <c r="K43" s="54">
        <v>46141</v>
      </c>
      <c r="L43" s="22">
        <v>30</v>
      </c>
      <c r="M43" s="19">
        <v>46141</v>
      </c>
      <c r="N43" s="23">
        <v>46141</v>
      </c>
      <c r="O43" s="19">
        <v>46141</v>
      </c>
      <c r="P43" s="23">
        <v>46141</v>
      </c>
      <c r="Q43" s="19">
        <v>46141</v>
      </c>
      <c r="R43" s="20">
        <v>46141</v>
      </c>
      <c r="S43" s="19">
        <v>46141</v>
      </c>
      <c r="T43" s="20">
        <v>46141</v>
      </c>
      <c r="U43" s="19">
        <v>46141</v>
      </c>
      <c r="V43" s="20">
        <v>46141</v>
      </c>
      <c r="W43" s="19">
        <v>46141</v>
      </c>
      <c r="X43" s="20">
        <v>46141</v>
      </c>
      <c r="Y43" s="19">
        <v>46141</v>
      </c>
      <c r="Z43" s="23">
        <v>46141</v>
      </c>
      <c r="AA43" s="19">
        <v>46157</v>
      </c>
      <c r="AB43" s="20">
        <v>46157</v>
      </c>
      <c r="AC43" s="19">
        <v>46161</v>
      </c>
      <c r="AD43" s="20">
        <v>46161</v>
      </c>
      <c r="AE43" s="19">
        <v>46161</v>
      </c>
      <c r="AF43" s="20">
        <v>46161</v>
      </c>
    </row>
    <row r="44" spans="2:32" s="1" customFormat="1" ht="15.95" customHeight="1" x14ac:dyDescent="0.25">
      <c r="B44" s="29">
        <v>95</v>
      </c>
      <c r="C44" s="30" t="s">
        <v>49</v>
      </c>
      <c r="D44" s="31" t="s">
        <v>60</v>
      </c>
      <c r="E44" s="32" t="s">
        <v>65</v>
      </c>
      <c r="F44" s="25" t="s">
        <v>28</v>
      </c>
      <c r="G44" s="18">
        <v>46140</v>
      </c>
      <c r="H44" s="19">
        <v>46111</v>
      </c>
      <c r="I44" s="20">
        <v>46111</v>
      </c>
      <c r="J44" s="55">
        <v>46141</v>
      </c>
      <c r="K44" s="54">
        <v>46141</v>
      </c>
      <c r="L44" s="22">
        <v>30</v>
      </c>
      <c r="M44" s="19">
        <v>46141</v>
      </c>
      <c r="N44" s="23">
        <v>46141</v>
      </c>
      <c r="O44" s="19">
        <v>46141</v>
      </c>
      <c r="P44" s="23">
        <v>46141</v>
      </c>
      <c r="Q44" s="19">
        <v>46141</v>
      </c>
      <c r="R44" s="20">
        <v>46141</v>
      </c>
      <c r="S44" s="19">
        <v>46141</v>
      </c>
      <c r="T44" s="20">
        <v>46141</v>
      </c>
      <c r="U44" s="19">
        <v>46141</v>
      </c>
      <c r="V44" s="20">
        <v>46141</v>
      </c>
      <c r="W44" s="19">
        <v>46141</v>
      </c>
      <c r="X44" s="20">
        <v>46141</v>
      </c>
      <c r="Y44" s="19">
        <v>46141</v>
      </c>
      <c r="Z44" s="23">
        <v>46141</v>
      </c>
      <c r="AA44" s="19">
        <v>46157</v>
      </c>
      <c r="AB44" s="20">
        <v>46157</v>
      </c>
      <c r="AC44" s="19">
        <v>46161</v>
      </c>
      <c r="AD44" s="20">
        <v>46161</v>
      </c>
      <c r="AE44" s="19">
        <v>46161</v>
      </c>
      <c r="AF44" s="20">
        <v>46161</v>
      </c>
    </row>
    <row r="45" spans="2:32" s="1" customFormat="1" ht="15.95" customHeight="1" x14ac:dyDescent="0.25">
      <c r="B45" s="29">
        <v>95</v>
      </c>
      <c r="C45" s="30" t="s">
        <v>50</v>
      </c>
      <c r="D45" s="31" t="s">
        <v>60</v>
      </c>
      <c r="E45" s="32" t="s">
        <v>65</v>
      </c>
      <c r="F45" s="25" t="s">
        <v>28</v>
      </c>
      <c r="G45" s="18">
        <v>46140</v>
      </c>
      <c r="H45" s="19">
        <v>46111</v>
      </c>
      <c r="I45" s="20">
        <v>46111</v>
      </c>
      <c r="J45" s="55">
        <v>46141</v>
      </c>
      <c r="K45" s="54">
        <v>46141</v>
      </c>
      <c r="L45" s="22">
        <v>30</v>
      </c>
      <c r="M45" s="19">
        <v>46141</v>
      </c>
      <c r="N45" s="23">
        <v>46141</v>
      </c>
      <c r="O45" s="19">
        <v>46141</v>
      </c>
      <c r="P45" s="23">
        <v>46141</v>
      </c>
      <c r="Q45" s="19">
        <v>46141</v>
      </c>
      <c r="R45" s="20">
        <v>46141</v>
      </c>
      <c r="S45" s="19">
        <v>46141</v>
      </c>
      <c r="T45" s="20">
        <v>46141</v>
      </c>
      <c r="U45" s="19">
        <v>46141</v>
      </c>
      <c r="V45" s="20">
        <v>46141</v>
      </c>
      <c r="W45" s="19">
        <v>46141</v>
      </c>
      <c r="X45" s="20">
        <v>46141</v>
      </c>
      <c r="Y45" s="19">
        <v>46141</v>
      </c>
      <c r="Z45" s="23">
        <v>46141</v>
      </c>
      <c r="AA45" s="19">
        <v>46157</v>
      </c>
      <c r="AB45" s="20">
        <v>46157</v>
      </c>
      <c r="AC45" s="19">
        <v>46161</v>
      </c>
      <c r="AD45" s="20">
        <v>46161</v>
      </c>
      <c r="AE45" s="19">
        <v>46161</v>
      </c>
      <c r="AF45" s="20">
        <v>46161</v>
      </c>
    </row>
    <row r="46" spans="2:32" s="1" customFormat="1" ht="15.95" customHeight="1" x14ac:dyDescent="0.25">
      <c r="B46" s="29">
        <v>77</v>
      </c>
      <c r="C46" s="30" t="s">
        <v>46</v>
      </c>
      <c r="D46" s="31" t="s">
        <v>47</v>
      </c>
      <c r="E46" s="32" t="s">
        <v>66</v>
      </c>
      <c r="F46" s="25" t="s">
        <v>28</v>
      </c>
      <c r="G46" s="18">
        <v>46141</v>
      </c>
      <c r="H46" s="19">
        <v>46112</v>
      </c>
      <c r="I46" s="20">
        <v>46112</v>
      </c>
      <c r="J46" s="55">
        <v>46142</v>
      </c>
      <c r="K46" s="54">
        <v>46142</v>
      </c>
      <c r="L46" s="22">
        <v>30</v>
      </c>
      <c r="M46" s="19">
        <v>46142</v>
      </c>
      <c r="N46" s="23">
        <v>46142</v>
      </c>
      <c r="O46" s="19">
        <v>46142</v>
      </c>
      <c r="P46" s="23">
        <v>46142</v>
      </c>
      <c r="Q46" s="19">
        <v>46142</v>
      </c>
      <c r="R46" s="20">
        <v>46142</v>
      </c>
      <c r="S46" s="19">
        <v>46142</v>
      </c>
      <c r="T46" s="20">
        <v>46142</v>
      </c>
      <c r="U46" s="19">
        <v>46142</v>
      </c>
      <c r="V46" s="20">
        <v>46142</v>
      </c>
      <c r="W46" s="19">
        <v>46142</v>
      </c>
      <c r="X46" s="20">
        <v>46142</v>
      </c>
      <c r="Y46" s="19">
        <v>46142</v>
      </c>
      <c r="Z46" s="23">
        <v>46142</v>
      </c>
      <c r="AA46" s="19">
        <v>46162</v>
      </c>
      <c r="AB46" s="20">
        <v>46162</v>
      </c>
      <c r="AC46" s="19">
        <v>46163</v>
      </c>
      <c r="AD46" s="20">
        <v>46163</v>
      </c>
      <c r="AE46" s="19">
        <v>46163</v>
      </c>
      <c r="AF46" s="20">
        <v>46163</v>
      </c>
    </row>
    <row r="47" spans="2:32" s="1" customFormat="1" ht="15.95" customHeight="1" x14ac:dyDescent="0.25">
      <c r="B47" s="29">
        <v>77</v>
      </c>
      <c r="C47" s="30" t="s">
        <v>49</v>
      </c>
      <c r="D47" s="31" t="s">
        <v>47</v>
      </c>
      <c r="E47" s="32" t="s">
        <v>66</v>
      </c>
      <c r="F47" s="25" t="s">
        <v>28</v>
      </c>
      <c r="G47" s="18">
        <v>46141</v>
      </c>
      <c r="H47" s="19">
        <v>46112</v>
      </c>
      <c r="I47" s="20">
        <v>46112</v>
      </c>
      <c r="J47" s="55">
        <v>46142</v>
      </c>
      <c r="K47" s="54">
        <v>46142</v>
      </c>
      <c r="L47" s="22">
        <v>30</v>
      </c>
      <c r="M47" s="19">
        <v>46142</v>
      </c>
      <c r="N47" s="23">
        <v>46142</v>
      </c>
      <c r="O47" s="19">
        <v>46142</v>
      </c>
      <c r="P47" s="23">
        <v>46142</v>
      </c>
      <c r="Q47" s="19">
        <v>46142</v>
      </c>
      <c r="R47" s="20">
        <v>46142</v>
      </c>
      <c r="S47" s="19">
        <v>46142</v>
      </c>
      <c r="T47" s="20">
        <v>46142</v>
      </c>
      <c r="U47" s="19">
        <v>46142</v>
      </c>
      <c r="V47" s="20">
        <v>46142</v>
      </c>
      <c r="W47" s="19">
        <v>46142</v>
      </c>
      <c r="X47" s="20">
        <v>46142</v>
      </c>
      <c r="Y47" s="19">
        <v>46142</v>
      </c>
      <c r="Z47" s="23">
        <v>46142</v>
      </c>
      <c r="AA47" s="19">
        <v>46162</v>
      </c>
      <c r="AB47" s="20">
        <v>46162</v>
      </c>
      <c r="AC47" s="19">
        <v>46163</v>
      </c>
      <c r="AD47" s="20">
        <v>46163</v>
      </c>
      <c r="AE47" s="19">
        <v>46163</v>
      </c>
      <c r="AF47" s="20">
        <v>46163</v>
      </c>
    </row>
    <row r="48" spans="2:32" s="1" customFormat="1" ht="15.95" customHeight="1" x14ac:dyDescent="0.25">
      <c r="B48" s="29">
        <v>77</v>
      </c>
      <c r="C48" s="30" t="s">
        <v>50</v>
      </c>
      <c r="D48" s="31" t="s">
        <v>47</v>
      </c>
      <c r="E48" s="32" t="s">
        <v>66</v>
      </c>
      <c r="F48" s="25" t="s">
        <v>28</v>
      </c>
      <c r="G48" s="18">
        <v>46141</v>
      </c>
      <c r="H48" s="19">
        <v>46112</v>
      </c>
      <c r="I48" s="20">
        <v>46112</v>
      </c>
      <c r="J48" s="55">
        <v>46142</v>
      </c>
      <c r="K48" s="54">
        <v>46142</v>
      </c>
      <c r="L48" s="22">
        <v>30</v>
      </c>
      <c r="M48" s="19">
        <v>46142</v>
      </c>
      <c r="N48" s="23">
        <v>46142</v>
      </c>
      <c r="O48" s="19">
        <v>46142</v>
      </c>
      <c r="P48" s="23">
        <v>46142</v>
      </c>
      <c r="Q48" s="19">
        <v>46142</v>
      </c>
      <c r="R48" s="20">
        <v>46142</v>
      </c>
      <c r="S48" s="19">
        <v>46142</v>
      </c>
      <c r="T48" s="20">
        <v>46142</v>
      </c>
      <c r="U48" s="19">
        <v>46142</v>
      </c>
      <c r="V48" s="20">
        <v>46142</v>
      </c>
      <c r="W48" s="19">
        <v>46142</v>
      </c>
      <c r="X48" s="20">
        <v>46142</v>
      </c>
      <c r="Y48" s="19">
        <v>46142</v>
      </c>
      <c r="Z48" s="23">
        <v>46142</v>
      </c>
      <c r="AA48" s="19">
        <v>46162</v>
      </c>
      <c r="AB48" s="20">
        <v>46162</v>
      </c>
      <c r="AC48" s="19">
        <v>46163</v>
      </c>
      <c r="AD48" s="20">
        <v>46163</v>
      </c>
      <c r="AE48" s="19">
        <v>46163</v>
      </c>
      <c r="AF48" s="20">
        <v>46163</v>
      </c>
    </row>
    <row r="49" spans="2:32" s="1" customFormat="1" ht="15.95" customHeight="1" x14ac:dyDescent="0.25">
      <c r="B49" s="33"/>
      <c r="C49" s="33"/>
      <c r="D49" s="33"/>
      <c r="E49" s="33"/>
      <c r="F49" s="34"/>
      <c r="G49" s="34"/>
      <c r="H49" s="35"/>
      <c r="I49" s="36"/>
      <c r="J49" s="63"/>
      <c r="K49" s="64"/>
      <c r="L49" s="37"/>
      <c r="M49" s="35"/>
      <c r="N49" s="36"/>
      <c r="O49" s="64"/>
      <c r="P49" s="64"/>
      <c r="Q49" s="36"/>
      <c r="R49" s="36"/>
      <c r="S49" s="35"/>
      <c r="T49" s="36"/>
      <c r="U49" s="35"/>
      <c r="V49" s="36"/>
      <c r="W49" s="35"/>
      <c r="X49" s="36"/>
      <c r="Y49" s="63"/>
      <c r="Z49" s="64"/>
      <c r="AA49" s="35"/>
      <c r="AB49" s="36"/>
      <c r="AC49" s="35"/>
      <c r="AD49" s="36"/>
      <c r="AE49" s="35"/>
      <c r="AF49" s="36"/>
    </row>
    <row r="50" spans="2:32" s="1" customFormat="1" ht="15.95" customHeight="1" thickBot="1" x14ac:dyDescent="0.3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ht="15.75" hidden="1" thickBot="1" x14ac:dyDescent="0.3"/>
    <row r="52" spans="2:32" ht="15.75" hidden="1" thickBot="1" x14ac:dyDescent="0.3"/>
    <row r="53" spans="2:32" ht="30" customHeight="1" thickBot="1" x14ac:dyDescent="0.3">
      <c r="B53" s="72" t="s">
        <v>79</v>
      </c>
      <c r="C53" s="73"/>
      <c r="D53" s="73"/>
      <c r="E53" s="74"/>
      <c r="F53" s="74"/>
      <c r="G53" s="74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6"/>
    </row>
    <row r="54" spans="2:32" ht="26.25" customHeight="1" thickTop="1" thickBot="1" x14ac:dyDescent="0.3">
      <c r="B54" s="77"/>
      <c r="C54" s="78"/>
      <c r="D54" s="78"/>
      <c r="E54" s="78"/>
      <c r="F54" s="78"/>
      <c r="G54" s="78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80"/>
    </row>
    <row r="55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3:AF54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0">
    <cfRule type="expression" dxfId="35" priority="1" stopIfTrue="1">
      <formula>IF(H7="",TRUE,FALSE)</formula>
    </cfRule>
  </conditionalFormatting>
  <conditionalFormatting sqref="L7:L50 P49:Q50">
    <cfRule type="expression" dxfId="34" priority="10" stopIfTrue="1">
      <formula>IF(J7="",TRUE,FALSE)</formula>
    </cfRule>
  </conditionalFormatting>
  <conditionalFormatting sqref="L7:L50">
    <cfRule type="expression" dxfId="33" priority="9" stopIfTrue="1">
      <formula>IF(F7="Mensual",OR(L7&gt;32,L7&lt;28), IF(F7="Bimestral",OR(L7&gt;62,L7&lt;58),IF(F7="Trimestral",OR(L7&gt;96,L7&lt;84),FALSE)))</formula>
    </cfRule>
  </conditionalFormatting>
  <conditionalFormatting sqref="N7:N48 P7:P48 K7:K50 T7:T50 V7:V50 X7:X50 Z7:Z50 AB7:AB50 AD7:AD50 AF7:AF50 N49:O50">
    <cfRule type="expression" dxfId="32" priority="11" stopIfTrue="1">
      <formula>IF(J7="",TRUE,FALSE)</formula>
    </cfRule>
  </conditionalFormatting>
  <conditionalFormatting sqref="R7:R48">
    <cfRule type="expression" dxfId="31" priority="8" stopIfTrue="1">
      <formula>IF(Q7="",TRUE,FALSE)</formula>
    </cfRule>
  </conditionalFormatting>
  <conditionalFormatting sqref="R49:R50">
    <cfRule type="expression" dxfId="30" priority="12" stopIfTrue="1">
      <formula>IF(O49="",TRUE,FALSE)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4D997-8B1A-4771-983B-0B63CE45DA2E}">
  <dimension ref="B1:AL58"/>
  <sheetViews>
    <sheetView workbookViewId="0">
      <selection activeCell="G16" sqref="G16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80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69</v>
      </c>
      <c r="E7" s="50" t="s">
        <v>27</v>
      </c>
      <c r="F7" s="51" t="s">
        <v>28</v>
      </c>
      <c r="G7" s="52">
        <v>46146</v>
      </c>
      <c r="H7" s="53">
        <v>46116</v>
      </c>
      <c r="I7" s="54">
        <v>46116</v>
      </c>
      <c r="J7" s="65">
        <v>46147</v>
      </c>
      <c r="K7" s="54">
        <v>46147</v>
      </c>
      <c r="L7" s="56">
        <v>31</v>
      </c>
      <c r="M7" s="53">
        <v>46148</v>
      </c>
      <c r="N7" s="57">
        <v>46148</v>
      </c>
      <c r="O7" s="66">
        <v>46149</v>
      </c>
      <c r="P7" s="54">
        <v>46149</v>
      </c>
      <c r="Q7" s="53">
        <v>46149</v>
      </c>
      <c r="R7" s="54">
        <v>46149</v>
      </c>
      <c r="S7" s="53">
        <v>46150</v>
      </c>
      <c r="T7" s="57">
        <v>46150</v>
      </c>
      <c r="U7" s="53">
        <v>46150</v>
      </c>
      <c r="V7" s="57">
        <v>46150</v>
      </c>
      <c r="W7" s="53">
        <v>46150</v>
      </c>
      <c r="X7" s="57">
        <v>46150</v>
      </c>
      <c r="Y7" s="66">
        <v>46154</v>
      </c>
      <c r="Z7" s="57">
        <v>46154</v>
      </c>
      <c r="AA7" s="66">
        <v>46163</v>
      </c>
      <c r="AB7" s="57">
        <v>46163</v>
      </c>
      <c r="AC7" s="53">
        <v>46164</v>
      </c>
      <c r="AD7" s="54">
        <v>46164</v>
      </c>
      <c r="AE7" s="53">
        <v>46164</v>
      </c>
      <c r="AF7" s="54">
        <v>46164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70</v>
      </c>
      <c r="E8" s="50" t="s">
        <v>33</v>
      </c>
      <c r="F8" s="59" t="s">
        <v>28</v>
      </c>
      <c r="G8" s="52">
        <v>46147</v>
      </c>
      <c r="H8" s="55">
        <v>46118</v>
      </c>
      <c r="I8" s="54">
        <v>46118</v>
      </c>
      <c r="J8" s="65">
        <v>46148</v>
      </c>
      <c r="K8" s="54">
        <v>46148</v>
      </c>
      <c r="L8" s="56">
        <v>30</v>
      </c>
      <c r="M8" s="53">
        <v>46149</v>
      </c>
      <c r="N8" s="57">
        <v>46149</v>
      </c>
      <c r="O8" s="66">
        <v>46150</v>
      </c>
      <c r="P8" s="54">
        <v>46150</v>
      </c>
      <c r="Q8" s="53">
        <v>46150</v>
      </c>
      <c r="R8" s="54">
        <v>46150</v>
      </c>
      <c r="S8" s="53">
        <v>46153</v>
      </c>
      <c r="T8" s="57">
        <v>46153</v>
      </c>
      <c r="U8" s="53">
        <v>46153</v>
      </c>
      <c r="V8" s="57">
        <v>46153</v>
      </c>
      <c r="W8" s="53">
        <v>46153</v>
      </c>
      <c r="X8" s="57">
        <v>46153</v>
      </c>
      <c r="Y8" s="66">
        <v>46155</v>
      </c>
      <c r="Z8" s="57">
        <v>46155</v>
      </c>
      <c r="AA8" s="66">
        <v>46164</v>
      </c>
      <c r="AB8" s="57">
        <v>46164</v>
      </c>
      <c r="AC8" s="53">
        <v>46167</v>
      </c>
      <c r="AD8" s="54">
        <v>46167</v>
      </c>
      <c r="AE8" s="53">
        <v>46167</v>
      </c>
      <c r="AF8" s="54">
        <v>46167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81</v>
      </c>
      <c r="E9" s="50" t="s">
        <v>27</v>
      </c>
      <c r="F9" s="59" t="s">
        <v>28</v>
      </c>
      <c r="G9" s="52">
        <v>46148</v>
      </c>
      <c r="H9" s="50">
        <v>46119</v>
      </c>
      <c r="I9" s="54">
        <v>46119</v>
      </c>
      <c r="J9" s="67">
        <v>46149</v>
      </c>
      <c r="K9" s="54">
        <v>46149</v>
      </c>
      <c r="L9" s="56">
        <v>30</v>
      </c>
      <c r="M9" s="53">
        <v>46150</v>
      </c>
      <c r="N9" s="57">
        <v>46150</v>
      </c>
      <c r="O9" s="66">
        <v>46151</v>
      </c>
      <c r="P9" s="54">
        <v>46151</v>
      </c>
      <c r="Q9" s="53">
        <v>46151</v>
      </c>
      <c r="R9" s="54">
        <v>46151</v>
      </c>
      <c r="S9" s="53">
        <v>46153</v>
      </c>
      <c r="T9" s="57">
        <v>46153</v>
      </c>
      <c r="U9" s="53">
        <v>46153</v>
      </c>
      <c r="V9" s="57">
        <v>46153</v>
      </c>
      <c r="W9" s="53">
        <v>46153</v>
      </c>
      <c r="X9" s="57">
        <v>46153</v>
      </c>
      <c r="Y9" s="66">
        <v>46156</v>
      </c>
      <c r="Z9" s="57">
        <v>46156</v>
      </c>
      <c r="AA9" s="66">
        <v>46167</v>
      </c>
      <c r="AB9" s="57">
        <v>46167</v>
      </c>
      <c r="AC9" s="53">
        <v>46168</v>
      </c>
      <c r="AD9" s="54">
        <v>46168</v>
      </c>
      <c r="AE9" s="53">
        <v>46168</v>
      </c>
      <c r="AF9" s="54">
        <v>46168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46149</v>
      </c>
      <c r="H10" s="53">
        <v>46120</v>
      </c>
      <c r="I10" s="61">
        <v>46120</v>
      </c>
      <c r="J10" s="67">
        <v>46150</v>
      </c>
      <c r="K10" s="54">
        <v>46150</v>
      </c>
      <c r="L10" s="56">
        <v>30</v>
      </c>
      <c r="M10" s="53">
        <v>46153</v>
      </c>
      <c r="N10" s="57">
        <v>46153</v>
      </c>
      <c r="O10" s="66">
        <v>46154</v>
      </c>
      <c r="P10" s="54">
        <v>46154</v>
      </c>
      <c r="Q10" s="53">
        <v>46154</v>
      </c>
      <c r="R10" s="54">
        <v>46154</v>
      </c>
      <c r="S10" s="53">
        <v>46155</v>
      </c>
      <c r="T10" s="57">
        <v>46155</v>
      </c>
      <c r="U10" s="53">
        <v>46155</v>
      </c>
      <c r="V10" s="57">
        <v>46155</v>
      </c>
      <c r="W10" s="53">
        <v>46155</v>
      </c>
      <c r="X10" s="57">
        <v>46155</v>
      </c>
      <c r="Y10" s="66">
        <v>46157</v>
      </c>
      <c r="Z10" s="57">
        <v>46157</v>
      </c>
      <c r="AA10" s="66">
        <v>46168</v>
      </c>
      <c r="AB10" s="57">
        <v>46168</v>
      </c>
      <c r="AC10" s="53">
        <v>46169</v>
      </c>
      <c r="AD10" s="54">
        <v>46169</v>
      </c>
      <c r="AE10" s="53">
        <v>46169</v>
      </c>
      <c r="AF10" s="54">
        <v>46169</v>
      </c>
    </row>
    <row r="11" spans="2:38" s="48" customFormat="1" ht="15.95" customHeight="1" x14ac:dyDescent="0.2">
      <c r="B11" s="49">
        <v>62</v>
      </c>
      <c r="C11" s="49">
        <v>13</v>
      </c>
      <c r="D11" s="49" t="s">
        <v>82</v>
      </c>
      <c r="E11" s="50" t="s">
        <v>71</v>
      </c>
      <c r="F11" s="51" t="s">
        <v>31</v>
      </c>
      <c r="G11" s="52">
        <v>46150</v>
      </c>
      <c r="H11" s="55">
        <v>46091</v>
      </c>
      <c r="I11" s="54">
        <v>46091</v>
      </c>
      <c r="J11" s="65">
        <v>46151</v>
      </c>
      <c r="K11" s="54">
        <v>46151</v>
      </c>
      <c r="L11" s="56">
        <v>60</v>
      </c>
      <c r="M11" s="53">
        <v>46153</v>
      </c>
      <c r="N11" s="57">
        <v>46153</v>
      </c>
      <c r="O11" s="66">
        <v>46154</v>
      </c>
      <c r="P11" s="54">
        <v>46154</v>
      </c>
      <c r="Q11" s="53">
        <v>46154</v>
      </c>
      <c r="R11" s="54">
        <v>46154</v>
      </c>
      <c r="S11" s="53">
        <v>46155</v>
      </c>
      <c r="T11" s="57">
        <v>46155</v>
      </c>
      <c r="U11" s="53">
        <v>46155</v>
      </c>
      <c r="V11" s="57">
        <v>46155</v>
      </c>
      <c r="W11" s="53">
        <v>46155</v>
      </c>
      <c r="X11" s="57">
        <v>46155</v>
      </c>
      <c r="Y11" s="66">
        <v>46157</v>
      </c>
      <c r="Z11" s="57">
        <v>46157</v>
      </c>
      <c r="AA11" s="66">
        <v>46195</v>
      </c>
      <c r="AB11" s="57">
        <v>46195</v>
      </c>
      <c r="AC11" s="53">
        <v>46196</v>
      </c>
      <c r="AD11" s="54">
        <v>46196</v>
      </c>
      <c r="AE11" s="53">
        <v>46196</v>
      </c>
      <c r="AF11" s="54">
        <v>46196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69</v>
      </c>
      <c r="E12" s="50" t="s">
        <v>36</v>
      </c>
      <c r="F12" s="59" t="s">
        <v>28</v>
      </c>
      <c r="G12" s="52">
        <v>46150</v>
      </c>
      <c r="H12" s="53">
        <v>46122</v>
      </c>
      <c r="I12" s="61">
        <v>46122</v>
      </c>
      <c r="J12" s="67">
        <v>46153</v>
      </c>
      <c r="K12" s="54">
        <v>46153</v>
      </c>
      <c r="L12" s="56">
        <v>31</v>
      </c>
      <c r="M12" s="53">
        <v>46154</v>
      </c>
      <c r="N12" s="57">
        <v>46154</v>
      </c>
      <c r="O12" s="66">
        <v>46155</v>
      </c>
      <c r="P12" s="54">
        <v>46155</v>
      </c>
      <c r="Q12" s="53">
        <v>46155</v>
      </c>
      <c r="R12" s="54">
        <v>46155</v>
      </c>
      <c r="S12" s="53">
        <v>46156</v>
      </c>
      <c r="T12" s="57">
        <v>46156</v>
      </c>
      <c r="U12" s="53">
        <v>46156</v>
      </c>
      <c r="V12" s="57">
        <v>46156</v>
      </c>
      <c r="W12" s="53">
        <v>46156</v>
      </c>
      <c r="X12" s="57">
        <v>46156</v>
      </c>
      <c r="Y12" s="66">
        <v>46162</v>
      </c>
      <c r="Z12" s="57">
        <v>46162</v>
      </c>
      <c r="AA12" s="66">
        <v>46169</v>
      </c>
      <c r="AB12" s="57">
        <v>46169</v>
      </c>
      <c r="AC12" s="53">
        <v>46170</v>
      </c>
      <c r="AD12" s="54">
        <v>46170</v>
      </c>
      <c r="AE12" s="53">
        <v>46170</v>
      </c>
      <c r="AF12" s="54">
        <v>46170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81</v>
      </c>
      <c r="E13" s="50" t="s">
        <v>37</v>
      </c>
      <c r="F13" s="59" t="s">
        <v>28</v>
      </c>
      <c r="G13" s="52">
        <v>46150</v>
      </c>
      <c r="H13" s="53">
        <v>46122</v>
      </c>
      <c r="I13" s="61">
        <v>46122</v>
      </c>
      <c r="J13" s="67">
        <v>46153</v>
      </c>
      <c r="K13" s="54">
        <v>46153</v>
      </c>
      <c r="L13" s="56">
        <v>31</v>
      </c>
      <c r="M13" s="53">
        <v>46154</v>
      </c>
      <c r="N13" s="57">
        <v>46154</v>
      </c>
      <c r="O13" s="66">
        <v>46155</v>
      </c>
      <c r="P13" s="54">
        <v>46155</v>
      </c>
      <c r="Q13" s="53">
        <v>46155</v>
      </c>
      <c r="R13" s="54">
        <v>46155</v>
      </c>
      <c r="S13" s="53">
        <v>46156</v>
      </c>
      <c r="T13" s="57">
        <v>46156</v>
      </c>
      <c r="U13" s="53">
        <v>46156</v>
      </c>
      <c r="V13" s="57">
        <v>46156</v>
      </c>
      <c r="W13" s="53">
        <v>46156</v>
      </c>
      <c r="X13" s="57">
        <v>46156</v>
      </c>
      <c r="Y13" s="66">
        <v>46161</v>
      </c>
      <c r="Z13" s="57">
        <v>46161</v>
      </c>
      <c r="AA13" s="66">
        <v>46170</v>
      </c>
      <c r="AB13" s="57">
        <v>46170</v>
      </c>
      <c r="AC13" s="53">
        <v>46171</v>
      </c>
      <c r="AD13" s="54">
        <v>46171</v>
      </c>
      <c r="AE13" s="53">
        <v>46171</v>
      </c>
      <c r="AF13" s="54">
        <v>46171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82</v>
      </c>
      <c r="E14" s="50" t="s">
        <v>38</v>
      </c>
      <c r="F14" s="59" t="s">
        <v>28</v>
      </c>
      <c r="G14" s="52">
        <v>46150</v>
      </c>
      <c r="H14" s="53">
        <v>46122</v>
      </c>
      <c r="I14" s="61">
        <v>46122</v>
      </c>
      <c r="J14" s="67">
        <v>46153</v>
      </c>
      <c r="K14" s="54">
        <v>46153</v>
      </c>
      <c r="L14" s="56">
        <v>31</v>
      </c>
      <c r="M14" s="53">
        <v>46154</v>
      </c>
      <c r="N14" s="57">
        <v>46154</v>
      </c>
      <c r="O14" s="66">
        <v>46155</v>
      </c>
      <c r="P14" s="54">
        <v>46155</v>
      </c>
      <c r="Q14" s="53">
        <v>46155</v>
      </c>
      <c r="R14" s="54">
        <v>46155</v>
      </c>
      <c r="S14" s="53">
        <v>46156</v>
      </c>
      <c r="T14" s="57">
        <v>46156</v>
      </c>
      <c r="U14" s="53">
        <v>46156</v>
      </c>
      <c r="V14" s="57">
        <v>46156</v>
      </c>
      <c r="W14" s="53">
        <v>46156</v>
      </c>
      <c r="X14" s="57">
        <v>46156</v>
      </c>
      <c r="Y14" s="66">
        <v>46161</v>
      </c>
      <c r="Z14" s="57">
        <v>46161</v>
      </c>
      <c r="AA14" s="66">
        <v>46168</v>
      </c>
      <c r="AB14" s="57">
        <v>46168</v>
      </c>
      <c r="AC14" s="53">
        <v>46169</v>
      </c>
      <c r="AD14" s="54">
        <v>46169</v>
      </c>
      <c r="AE14" s="53">
        <v>46169</v>
      </c>
      <c r="AF14" s="54">
        <v>46169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70</v>
      </c>
      <c r="E15" s="50" t="s">
        <v>39</v>
      </c>
      <c r="F15" s="59" t="s">
        <v>28</v>
      </c>
      <c r="G15" s="52">
        <v>46153</v>
      </c>
      <c r="H15" s="53">
        <v>46123</v>
      </c>
      <c r="I15" s="61">
        <v>46123</v>
      </c>
      <c r="J15" s="67">
        <v>46154</v>
      </c>
      <c r="K15" s="54">
        <v>46154</v>
      </c>
      <c r="L15" s="56">
        <v>31</v>
      </c>
      <c r="M15" s="53">
        <v>46156</v>
      </c>
      <c r="N15" s="57">
        <v>46156</v>
      </c>
      <c r="O15" s="66">
        <v>46157</v>
      </c>
      <c r="P15" s="54">
        <v>46157</v>
      </c>
      <c r="Q15" s="53">
        <v>46161</v>
      </c>
      <c r="R15" s="54">
        <v>46161</v>
      </c>
      <c r="S15" s="53">
        <v>46162</v>
      </c>
      <c r="T15" s="57">
        <v>46162</v>
      </c>
      <c r="U15" s="53">
        <v>46162</v>
      </c>
      <c r="V15" s="57">
        <v>46162</v>
      </c>
      <c r="W15" s="53">
        <v>46162</v>
      </c>
      <c r="X15" s="57">
        <v>46162</v>
      </c>
      <c r="Y15" s="66">
        <v>46167</v>
      </c>
      <c r="Z15" s="57">
        <v>46167</v>
      </c>
      <c r="AA15" s="66">
        <v>46178</v>
      </c>
      <c r="AB15" s="57">
        <v>46178</v>
      </c>
      <c r="AC15" s="53">
        <v>46182</v>
      </c>
      <c r="AD15" s="54">
        <v>46182</v>
      </c>
      <c r="AE15" s="53">
        <v>46182</v>
      </c>
      <c r="AF15" s="54">
        <v>46182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69</v>
      </c>
      <c r="E16" s="50" t="s">
        <v>41</v>
      </c>
      <c r="F16" s="59" t="s">
        <v>28</v>
      </c>
      <c r="G16" s="52">
        <v>46154</v>
      </c>
      <c r="H16" s="55">
        <v>46125</v>
      </c>
      <c r="I16" s="54">
        <v>46125</v>
      </c>
      <c r="J16" s="65">
        <v>46155</v>
      </c>
      <c r="K16" s="54">
        <v>46155</v>
      </c>
      <c r="L16" s="56">
        <v>30</v>
      </c>
      <c r="M16" s="53">
        <v>46156</v>
      </c>
      <c r="N16" s="57">
        <v>46156</v>
      </c>
      <c r="O16" s="66">
        <v>46157</v>
      </c>
      <c r="P16" s="54">
        <v>46157</v>
      </c>
      <c r="Q16" s="53">
        <v>46157</v>
      </c>
      <c r="R16" s="54">
        <v>46157</v>
      </c>
      <c r="S16" s="53">
        <v>46161</v>
      </c>
      <c r="T16" s="57">
        <v>46161</v>
      </c>
      <c r="U16" s="53">
        <v>46161</v>
      </c>
      <c r="V16" s="57">
        <v>46161</v>
      </c>
      <c r="W16" s="53">
        <v>46161</v>
      </c>
      <c r="X16" s="57">
        <v>46161</v>
      </c>
      <c r="Y16" s="66">
        <v>46163</v>
      </c>
      <c r="Z16" s="57">
        <v>46163</v>
      </c>
      <c r="AA16" s="66">
        <v>46174</v>
      </c>
      <c r="AB16" s="57">
        <v>46174</v>
      </c>
      <c r="AC16" s="53">
        <v>46175</v>
      </c>
      <c r="AD16" s="54">
        <v>46175</v>
      </c>
      <c r="AE16" s="53">
        <v>46175</v>
      </c>
      <c r="AF16" s="54">
        <v>46175</v>
      </c>
    </row>
    <row r="17" spans="2:32" s="48" customFormat="1" ht="15.95" customHeight="1" x14ac:dyDescent="0.2">
      <c r="B17" s="49">
        <v>29</v>
      </c>
      <c r="C17" s="49">
        <v>11</v>
      </c>
      <c r="D17" s="49" t="s">
        <v>81</v>
      </c>
      <c r="E17" s="50" t="s">
        <v>42</v>
      </c>
      <c r="F17" s="59" t="s">
        <v>28</v>
      </c>
      <c r="G17" s="52">
        <v>46155</v>
      </c>
      <c r="H17" s="55">
        <v>46126</v>
      </c>
      <c r="I17" s="54">
        <v>46126</v>
      </c>
      <c r="J17" s="65">
        <v>46156</v>
      </c>
      <c r="K17" s="54">
        <v>46156</v>
      </c>
      <c r="L17" s="56">
        <v>30</v>
      </c>
      <c r="M17" s="53">
        <v>46161</v>
      </c>
      <c r="N17" s="57">
        <v>46161</v>
      </c>
      <c r="O17" s="66">
        <v>46162</v>
      </c>
      <c r="P17" s="54">
        <v>46162</v>
      </c>
      <c r="Q17" s="53">
        <v>46163</v>
      </c>
      <c r="R17" s="54">
        <v>46163</v>
      </c>
      <c r="S17" s="53">
        <v>46164</v>
      </c>
      <c r="T17" s="57">
        <v>46164</v>
      </c>
      <c r="U17" s="53">
        <v>46164</v>
      </c>
      <c r="V17" s="57">
        <v>46164</v>
      </c>
      <c r="W17" s="53">
        <v>46164</v>
      </c>
      <c r="X17" s="57">
        <v>46164</v>
      </c>
      <c r="Y17" s="66">
        <v>46170</v>
      </c>
      <c r="Z17" s="57">
        <v>46170</v>
      </c>
      <c r="AA17" s="66">
        <v>46182</v>
      </c>
      <c r="AB17" s="57">
        <v>46182</v>
      </c>
      <c r="AC17" s="53">
        <v>46183</v>
      </c>
      <c r="AD17" s="54">
        <v>46183</v>
      </c>
      <c r="AE17" s="53">
        <v>46183</v>
      </c>
      <c r="AF17" s="54">
        <v>46183</v>
      </c>
    </row>
    <row r="18" spans="2:32" s="48" customFormat="1" ht="15.95" customHeight="1" x14ac:dyDescent="0.2">
      <c r="B18" s="49">
        <v>13</v>
      </c>
      <c r="C18" s="49">
        <v>12</v>
      </c>
      <c r="D18" s="49" t="s">
        <v>70</v>
      </c>
      <c r="E18" s="50" t="s">
        <v>43</v>
      </c>
      <c r="F18" s="59" t="s">
        <v>28</v>
      </c>
      <c r="G18" s="52">
        <v>46156</v>
      </c>
      <c r="H18" s="55">
        <v>46127</v>
      </c>
      <c r="I18" s="54">
        <v>46127</v>
      </c>
      <c r="J18" s="65">
        <v>46157</v>
      </c>
      <c r="K18" s="54">
        <v>46157</v>
      </c>
      <c r="L18" s="56">
        <v>30</v>
      </c>
      <c r="M18" s="53">
        <v>46161</v>
      </c>
      <c r="N18" s="57">
        <v>46161</v>
      </c>
      <c r="O18" s="66">
        <v>46162</v>
      </c>
      <c r="P18" s="54">
        <v>46162</v>
      </c>
      <c r="Q18" s="53">
        <v>46162</v>
      </c>
      <c r="R18" s="54">
        <v>46162</v>
      </c>
      <c r="S18" s="53">
        <v>46163</v>
      </c>
      <c r="T18" s="57">
        <v>46163</v>
      </c>
      <c r="U18" s="53">
        <v>46163</v>
      </c>
      <c r="V18" s="57">
        <v>46163</v>
      </c>
      <c r="W18" s="53">
        <v>46163</v>
      </c>
      <c r="X18" s="57">
        <v>46163</v>
      </c>
      <c r="Y18" s="66">
        <v>46164</v>
      </c>
      <c r="Z18" s="57">
        <v>46164</v>
      </c>
      <c r="AA18" s="66">
        <v>46175</v>
      </c>
      <c r="AB18" s="57">
        <v>46175</v>
      </c>
      <c r="AC18" s="53">
        <v>46176</v>
      </c>
      <c r="AD18" s="54">
        <v>46176</v>
      </c>
      <c r="AE18" s="53">
        <v>46176</v>
      </c>
      <c r="AF18" s="54">
        <v>46176</v>
      </c>
    </row>
    <row r="19" spans="2:32" s="48" customFormat="1" ht="15" customHeight="1" x14ac:dyDescent="0.2">
      <c r="B19" s="49">
        <v>59</v>
      </c>
      <c r="C19" s="49">
        <v>13</v>
      </c>
      <c r="D19" s="49" t="s">
        <v>81</v>
      </c>
      <c r="E19" s="50" t="s">
        <v>27</v>
      </c>
      <c r="F19" s="59" t="s">
        <v>31</v>
      </c>
      <c r="G19" s="52">
        <v>46157</v>
      </c>
      <c r="H19" s="50">
        <v>46098</v>
      </c>
      <c r="I19" s="54">
        <v>46098</v>
      </c>
      <c r="J19" s="67">
        <v>46158</v>
      </c>
      <c r="K19" s="54">
        <v>46158</v>
      </c>
      <c r="L19" s="56">
        <v>60</v>
      </c>
      <c r="M19" s="53">
        <v>46161</v>
      </c>
      <c r="N19" s="57">
        <v>46161</v>
      </c>
      <c r="O19" s="66">
        <v>46163</v>
      </c>
      <c r="P19" s="54">
        <v>46163</v>
      </c>
      <c r="Q19" s="53">
        <v>46163</v>
      </c>
      <c r="R19" s="54">
        <v>46163</v>
      </c>
      <c r="S19" s="53">
        <v>46164</v>
      </c>
      <c r="T19" s="57">
        <v>46164</v>
      </c>
      <c r="U19" s="53">
        <v>46164</v>
      </c>
      <c r="V19" s="57">
        <v>46164</v>
      </c>
      <c r="W19" s="53">
        <v>46164</v>
      </c>
      <c r="X19" s="57">
        <v>46164</v>
      </c>
      <c r="Y19" s="66">
        <v>46169</v>
      </c>
      <c r="Z19" s="57">
        <v>46169</v>
      </c>
      <c r="AA19" s="66">
        <v>46196</v>
      </c>
      <c r="AB19" s="57">
        <v>46196</v>
      </c>
      <c r="AC19" s="53">
        <v>46197</v>
      </c>
      <c r="AD19" s="54">
        <v>46197</v>
      </c>
      <c r="AE19" s="53">
        <v>46197</v>
      </c>
      <c r="AF19" s="54">
        <v>46197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v>46157</v>
      </c>
      <c r="H20" s="55">
        <v>46129</v>
      </c>
      <c r="I20" s="54">
        <v>46129</v>
      </c>
      <c r="J20" s="65">
        <v>46161</v>
      </c>
      <c r="K20" s="54">
        <v>46161</v>
      </c>
      <c r="L20" s="56">
        <v>32</v>
      </c>
      <c r="M20" s="53">
        <v>46162</v>
      </c>
      <c r="N20" s="57">
        <v>46162</v>
      </c>
      <c r="O20" s="66">
        <v>46163</v>
      </c>
      <c r="P20" s="54">
        <v>46163</v>
      </c>
      <c r="Q20" s="53">
        <v>46164</v>
      </c>
      <c r="R20" s="54">
        <v>46164</v>
      </c>
      <c r="S20" s="53">
        <v>46167</v>
      </c>
      <c r="T20" s="57">
        <v>46167</v>
      </c>
      <c r="U20" s="53">
        <v>46167</v>
      </c>
      <c r="V20" s="57">
        <v>46167</v>
      </c>
      <c r="W20" s="53">
        <v>46167</v>
      </c>
      <c r="X20" s="57">
        <v>46167</v>
      </c>
      <c r="Y20" s="66">
        <v>46171</v>
      </c>
      <c r="Z20" s="57">
        <v>46171</v>
      </c>
      <c r="AA20" s="66">
        <v>46183</v>
      </c>
      <c r="AB20" s="57">
        <v>46183</v>
      </c>
      <c r="AC20" s="53">
        <v>46184</v>
      </c>
      <c r="AD20" s="54">
        <v>46184</v>
      </c>
      <c r="AE20" s="53">
        <v>46184</v>
      </c>
      <c r="AF20" s="54">
        <v>46184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69</v>
      </c>
      <c r="E21" s="50" t="s">
        <v>44</v>
      </c>
      <c r="F21" s="59" t="s">
        <v>28</v>
      </c>
      <c r="G21" s="52">
        <v>46157</v>
      </c>
      <c r="H21" s="55">
        <v>46129</v>
      </c>
      <c r="I21" s="54">
        <v>46129</v>
      </c>
      <c r="J21" s="65">
        <v>46158</v>
      </c>
      <c r="K21" s="54">
        <v>46158</v>
      </c>
      <c r="L21" s="56">
        <v>29</v>
      </c>
      <c r="M21" s="53">
        <v>46161</v>
      </c>
      <c r="N21" s="57">
        <v>46161</v>
      </c>
      <c r="O21" s="66">
        <v>46162</v>
      </c>
      <c r="P21" s="54">
        <v>46162</v>
      </c>
      <c r="Q21" s="53">
        <v>46162</v>
      </c>
      <c r="R21" s="54">
        <v>46162</v>
      </c>
      <c r="S21" s="53">
        <v>46163</v>
      </c>
      <c r="T21" s="57">
        <v>46163</v>
      </c>
      <c r="U21" s="53">
        <v>46163</v>
      </c>
      <c r="V21" s="57">
        <v>46163</v>
      </c>
      <c r="W21" s="53">
        <v>46163</v>
      </c>
      <c r="X21" s="57">
        <v>46163</v>
      </c>
      <c r="Y21" s="66">
        <v>46169</v>
      </c>
      <c r="Z21" s="57">
        <v>46169</v>
      </c>
      <c r="AA21" s="66">
        <v>46182</v>
      </c>
      <c r="AB21" s="57">
        <v>46182</v>
      </c>
      <c r="AC21" s="53">
        <v>46183</v>
      </c>
      <c r="AD21" s="54">
        <v>46183</v>
      </c>
      <c r="AE21" s="53">
        <v>46183</v>
      </c>
      <c r="AF21" s="54">
        <v>46183</v>
      </c>
    </row>
    <row r="22" spans="2:32" s="1" customFormat="1" ht="15.95" customHeight="1" x14ac:dyDescent="0.2">
      <c r="B22" s="15">
        <v>64</v>
      </c>
      <c r="C22" s="15">
        <v>12</v>
      </c>
      <c r="D22" s="49" t="s">
        <v>70</v>
      </c>
      <c r="E22" s="16" t="s">
        <v>36</v>
      </c>
      <c r="F22" s="25" t="s">
        <v>31</v>
      </c>
      <c r="G22" s="18">
        <v>46157</v>
      </c>
      <c r="H22" s="21">
        <v>46099</v>
      </c>
      <c r="I22" s="54">
        <v>46099</v>
      </c>
      <c r="J22" s="65">
        <v>46162</v>
      </c>
      <c r="K22" s="54">
        <v>46162</v>
      </c>
      <c r="L22" s="22">
        <v>63</v>
      </c>
      <c r="M22" s="19">
        <v>46163</v>
      </c>
      <c r="N22" s="23">
        <v>46163</v>
      </c>
      <c r="O22" s="66">
        <v>46164</v>
      </c>
      <c r="P22" s="54">
        <v>46164</v>
      </c>
      <c r="Q22" s="19">
        <v>46164</v>
      </c>
      <c r="R22" s="20">
        <v>46164</v>
      </c>
      <c r="S22" s="19">
        <v>46167</v>
      </c>
      <c r="T22" s="23">
        <v>46167</v>
      </c>
      <c r="U22" s="19">
        <v>46167</v>
      </c>
      <c r="V22" s="23">
        <v>46167</v>
      </c>
      <c r="W22" s="19">
        <v>46167</v>
      </c>
      <c r="X22" s="23">
        <v>46167</v>
      </c>
      <c r="Y22" s="66">
        <v>46169</v>
      </c>
      <c r="Z22" s="57">
        <v>46169</v>
      </c>
      <c r="AA22" s="68">
        <v>46199</v>
      </c>
      <c r="AB22" s="23">
        <v>46199</v>
      </c>
      <c r="AC22" s="19">
        <v>46203</v>
      </c>
      <c r="AD22" s="20">
        <v>46203</v>
      </c>
      <c r="AE22" s="19">
        <v>46203</v>
      </c>
      <c r="AF22" s="20">
        <v>46203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81</v>
      </c>
      <c r="E23" s="50" t="s">
        <v>39</v>
      </c>
      <c r="F23" s="59" t="s">
        <v>28</v>
      </c>
      <c r="G23" s="52">
        <v>46161</v>
      </c>
      <c r="H23" s="55">
        <v>46132</v>
      </c>
      <c r="I23" s="54">
        <v>46132</v>
      </c>
      <c r="J23" s="65">
        <v>46162</v>
      </c>
      <c r="K23" s="54">
        <v>46162</v>
      </c>
      <c r="L23" s="56">
        <v>30</v>
      </c>
      <c r="M23" s="53">
        <v>46163</v>
      </c>
      <c r="N23" s="57">
        <v>46163</v>
      </c>
      <c r="O23" s="66">
        <v>46164</v>
      </c>
      <c r="P23" s="54">
        <v>46164</v>
      </c>
      <c r="Q23" s="53">
        <v>46167</v>
      </c>
      <c r="R23" s="54">
        <v>46167</v>
      </c>
      <c r="S23" s="53">
        <v>46168</v>
      </c>
      <c r="T23" s="57">
        <v>46168</v>
      </c>
      <c r="U23" s="53">
        <v>46168</v>
      </c>
      <c r="V23" s="57">
        <v>46168</v>
      </c>
      <c r="W23" s="53">
        <v>46168</v>
      </c>
      <c r="X23" s="57">
        <v>46168</v>
      </c>
      <c r="Y23" s="66">
        <v>46172</v>
      </c>
      <c r="Z23" s="57">
        <v>46172</v>
      </c>
      <c r="AA23" s="66">
        <v>46185</v>
      </c>
      <c r="AB23" s="57">
        <v>46185</v>
      </c>
      <c r="AC23" s="53">
        <v>46189</v>
      </c>
      <c r="AD23" s="54">
        <v>46189</v>
      </c>
      <c r="AE23" s="53">
        <v>46189</v>
      </c>
      <c r="AF23" s="54">
        <v>46189</v>
      </c>
    </row>
    <row r="24" spans="2:32" s="48" customFormat="1" ht="15.95" customHeight="1" x14ac:dyDescent="0.2">
      <c r="B24" s="49">
        <v>47</v>
      </c>
      <c r="C24" s="49">
        <v>11</v>
      </c>
      <c r="D24" s="49" t="s">
        <v>69</v>
      </c>
      <c r="E24" s="50" t="s">
        <v>39</v>
      </c>
      <c r="F24" s="59" t="s">
        <v>28</v>
      </c>
      <c r="G24" s="52">
        <v>46162</v>
      </c>
      <c r="H24" s="55">
        <v>46133</v>
      </c>
      <c r="I24" s="54">
        <v>46133</v>
      </c>
      <c r="J24" s="65">
        <v>46163</v>
      </c>
      <c r="K24" s="54">
        <v>46163</v>
      </c>
      <c r="L24" s="56">
        <v>30</v>
      </c>
      <c r="M24" s="53">
        <v>46164</v>
      </c>
      <c r="N24" s="57">
        <v>46164</v>
      </c>
      <c r="O24" s="66">
        <v>46165</v>
      </c>
      <c r="P24" s="54">
        <v>46165</v>
      </c>
      <c r="Q24" s="53">
        <v>46167</v>
      </c>
      <c r="R24" s="54">
        <v>46167</v>
      </c>
      <c r="S24" s="53">
        <v>46168</v>
      </c>
      <c r="T24" s="57">
        <v>46168</v>
      </c>
      <c r="U24" s="53">
        <v>46168</v>
      </c>
      <c r="V24" s="57">
        <v>46168</v>
      </c>
      <c r="W24" s="53">
        <v>46168</v>
      </c>
      <c r="X24" s="57">
        <v>46168</v>
      </c>
      <c r="Y24" s="66">
        <v>46172</v>
      </c>
      <c r="Z24" s="57">
        <v>46172</v>
      </c>
      <c r="AA24" s="66">
        <v>46189</v>
      </c>
      <c r="AB24" s="57">
        <v>46189</v>
      </c>
      <c r="AC24" s="53">
        <v>46190</v>
      </c>
      <c r="AD24" s="54">
        <v>46190</v>
      </c>
      <c r="AE24" s="53">
        <v>46190</v>
      </c>
      <c r="AF24" s="54">
        <v>46190</v>
      </c>
    </row>
    <row r="25" spans="2:32" s="48" customFormat="1" ht="15.95" customHeight="1" x14ac:dyDescent="0.2">
      <c r="B25" s="49">
        <v>49</v>
      </c>
      <c r="C25" s="49">
        <v>11</v>
      </c>
      <c r="D25" s="49" t="s">
        <v>82</v>
      </c>
      <c r="E25" s="50" t="s">
        <v>39</v>
      </c>
      <c r="F25" s="59" t="s">
        <v>28</v>
      </c>
      <c r="G25" s="52">
        <v>46162</v>
      </c>
      <c r="H25" s="55">
        <v>46134</v>
      </c>
      <c r="I25" s="54">
        <v>46134</v>
      </c>
      <c r="J25" s="65">
        <v>46164</v>
      </c>
      <c r="K25" s="54">
        <v>46164</v>
      </c>
      <c r="L25" s="56">
        <v>30</v>
      </c>
      <c r="M25" s="53">
        <v>46167</v>
      </c>
      <c r="N25" s="57">
        <v>46167</v>
      </c>
      <c r="O25" s="66">
        <v>46168</v>
      </c>
      <c r="P25" s="54">
        <v>46168</v>
      </c>
      <c r="Q25" s="53">
        <v>46169</v>
      </c>
      <c r="R25" s="54">
        <v>46169</v>
      </c>
      <c r="S25" s="53">
        <v>46170</v>
      </c>
      <c r="T25" s="57">
        <v>46170</v>
      </c>
      <c r="U25" s="53">
        <v>46170</v>
      </c>
      <c r="V25" s="57">
        <v>46170</v>
      </c>
      <c r="W25" s="53">
        <v>46170</v>
      </c>
      <c r="X25" s="57">
        <v>46170</v>
      </c>
      <c r="Y25" s="66">
        <v>46174</v>
      </c>
      <c r="Z25" s="57">
        <v>46174</v>
      </c>
      <c r="AA25" s="66">
        <v>46190</v>
      </c>
      <c r="AB25" s="57">
        <v>46190</v>
      </c>
      <c r="AC25" s="53">
        <v>46191</v>
      </c>
      <c r="AD25" s="54">
        <v>46191</v>
      </c>
      <c r="AE25" s="53">
        <v>46191</v>
      </c>
      <c r="AF25" s="54">
        <v>46191</v>
      </c>
    </row>
    <row r="26" spans="2:32" s="48" customFormat="1" ht="15.95" customHeight="1" x14ac:dyDescent="0.2">
      <c r="B26" s="49">
        <v>51</v>
      </c>
      <c r="C26" s="49">
        <v>11</v>
      </c>
      <c r="D26" s="49" t="s">
        <v>81</v>
      </c>
      <c r="E26" s="50" t="s">
        <v>39</v>
      </c>
      <c r="F26" s="59" t="s">
        <v>28</v>
      </c>
      <c r="G26" s="52">
        <v>46164</v>
      </c>
      <c r="H26" s="55">
        <v>46135</v>
      </c>
      <c r="I26" s="54">
        <v>46135</v>
      </c>
      <c r="J26" s="65">
        <v>46165</v>
      </c>
      <c r="K26" s="54">
        <v>46165</v>
      </c>
      <c r="L26" s="56">
        <v>30</v>
      </c>
      <c r="M26" s="53">
        <v>46167</v>
      </c>
      <c r="N26" s="57">
        <v>46167</v>
      </c>
      <c r="O26" s="66">
        <v>46168</v>
      </c>
      <c r="P26" s="54">
        <v>46168</v>
      </c>
      <c r="Q26" s="53">
        <v>46169</v>
      </c>
      <c r="R26" s="54">
        <v>46169</v>
      </c>
      <c r="S26" s="53">
        <v>46170</v>
      </c>
      <c r="T26" s="57">
        <v>46170</v>
      </c>
      <c r="U26" s="53">
        <v>46170</v>
      </c>
      <c r="V26" s="57">
        <v>46170</v>
      </c>
      <c r="W26" s="53">
        <v>46170</v>
      </c>
      <c r="X26" s="57">
        <v>46170</v>
      </c>
      <c r="Y26" s="66">
        <v>46174</v>
      </c>
      <c r="Z26" s="57">
        <v>46174</v>
      </c>
      <c r="AA26" s="66">
        <v>46191</v>
      </c>
      <c r="AB26" s="57">
        <v>46191</v>
      </c>
      <c r="AC26" s="53">
        <v>46192</v>
      </c>
      <c r="AD26" s="54">
        <v>46192</v>
      </c>
      <c r="AE26" s="53">
        <v>46192</v>
      </c>
      <c r="AF26" s="54">
        <v>46192</v>
      </c>
    </row>
    <row r="27" spans="2:32" s="1" customFormat="1" ht="15.95" customHeight="1" x14ac:dyDescent="0.2">
      <c r="B27" s="15">
        <v>71</v>
      </c>
      <c r="C27" s="15">
        <v>11</v>
      </c>
      <c r="D27" s="15" t="s">
        <v>69</v>
      </c>
      <c r="E27" s="16" t="s">
        <v>33</v>
      </c>
      <c r="F27" s="25" t="s">
        <v>31</v>
      </c>
      <c r="G27" s="18">
        <v>46163</v>
      </c>
      <c r="H27" s="21">
        <v>46102</v>
      </c>
      <c r="I27" s="54">
        <v>46102</v>
      </c>
      <c r="J27" s="65">
        <v>46164</v>
      </c>
      <c r="K27" s="54">
        <v>46164</v>
      </c>
      <c r="L27" s="22">
        <v>62</v>
      </c>
      <c r="M27" s="19">
        <v>46167</v>
      </c>
      <c r="N27" s="23">
        <v>46167</v>
      </c>
      <c r="O27" s="66">
        <v>46168</v>
      </c>
      <c r="P27" s="54">
        <v>46168</v>
      </c>
      <c r="Q27" s="19">
        <v>46168</v>
      </c>
      <c r="R27" s="20">
        <v>46168</v>
      </c>
      <c r="S27" s="19">
        <v>46169</v>
      </c>
      <c r="T27" s="23">
        <v>46169</v>
      </c>
      <c r="U27" s="19">
        <v>46169</v>
      </c>
      <c r="V27" s="23">
        <v>46169</v>
      </c>
      <c r="W27" s="19">
        <v>46169</v>
      </c>
      <c r="X27" s="23">
        <v>46169</v>
      </c>
      <c r="Y27" s="66">
        <v>46172</v>
      </c>
      <c r="Z27" s="57">
        <v>46172</v>
      </c>
      <c r="AA27" s="68">
        <v>46199</v>
      </c>
      <c r="AB27" s="23">
        <v>46199</v>
      </c>
      <c r="AC27" s="19">
        <v>46203</v>
      </c>
      <c r="AD27" s="20">
        <v>46203</v>
      </c>
      <c r="AE27" s="19">
        <v>46203</v>
      </c>
      <c r="AF27" s="20">
        <v>46203</v>
      </c>
    </row>
    <row r="28" spans="2:32" s="48" customFormat="1" ht="15.95" customHeight="1" x14ac:dyDescent="0.2">
      <c r="B28" s="49">
        <v>53</v>
      </c>
      <c r="C28" s="49">
        <v>11</v>
      </c>
      <c r="D28" s="49" t="s">
        <v>70</v>
      </c>
      <c r="E28" s="50" t="s">
        <v>39</v>
      </c>
      <c r="F28" s="59" t="s">
        <v>28</v>
      </c>
      <c r="G28" s="52">
        <v>46164</v>
      </c>
      <c r="H28" s="55">
        <v>46136</v>
      </c>
      <c r="I28" s="54">
        <v>46136</v>
      </c>
      <c r="J28" s="65">
        <v>46167</v>
      </c>
      <c r="K28" s="54">
        <v>46167</v>
      </c>
      <c r="L28" s="56">
        <v>31</v>
      </c>
      <c r="M28" s="53">
        <v>46168</v>
      </c>
      <c r="N28" s="57">
        <v>46168</v>
      </c>
      <c r="O28" s="66">
        <v>46169</v>
      </c>
      <c r="P28" s="54">
        <v>46169</v>
      </c>
      <c r="Q28" s="53">
        <v>46170</v>
      </c>
      <c r="R28" s="54">
        <v>46170</v>
      </c>
      <c r="S28" s="53">
        <v>46171</v>
      </c>
      <c r="T28" s="57">
        <v>46171</v>
      </c>
      <c r="U28" s="53">
        <v>46171</v>
      </c>
      <c r="V28" s="57">
        <v>46171</v>
      </c>
      <c r="W28" s="53">
        <v>46171</v>
      </c>
      <c r="X28" s="57">
        <v>46171</v>
      </c>
      <c r="Y28" s="66">
        <v>46177</v>
      </c>
      <c r="Z28" s="57">
        <v>46177</v>
      </c>
      <c r="AA28" s="66">
        <v>46195</v>
      </c>
      <c r="AB28" s="57">
        <v>46195</v>
      </c>
      <c r="AC28" s="53">
        <v>46196</v>
      </c>
      <c r="AD28" s="54">
        <v>46196</v>
      </c>
      <c r="AE28" s="53">
        <v>46196</v>
      </c>
      <c r="AF28" s="54">
        <v>46196</v>
      </c>
    </row>
    <row r="29" spans="2:32" s="1" customFormat="1" ht="15.95" customHeight="1" x14ac:dyDescent="0.25">
      <c r="B29" s="14">
        <v>65</v>
      </c>
      <c r="C29" s="15">
        <v>12</v>
      </c>
      <c r="D29" s="49" t="s">
        <v>82</v>
      </c>
      <c r="E29" s="16" t="s">
        <v>72</v>
      </c>
      <c r="F29" s="25" t="s">
        <v>31</v>
      </c>
      <c r="G29" s="18">
        <v>46164</v>
      </c>
      <c r="H29" s="21">
        <v>46106</v>
      </c>
      <c r="I29" s="54">
        <v>46106</v>
      </c>
      <c r="J29" s="65">
        <v>46167</v>
      </c>
      <c r="K29" s="54">
        <v>46167</v>
      </c>
      <c r="L29" s="22">
        <v>61</v>
      </c>
      <c r="M29" s="19">
        <v>46168</v>
      </c>
      <c r="N29" s="23">
        <v>46168</v>
      </c>
      <c r="O29" s="66">
        <v>46169</v>
      </c>
      <c r="P29" s="54">
        <v>46169</v>
      </c>
      <c r="Q29" s="19">
        <v>46169</v>
      </c>
      <c r="R29" s="20">
        <v>46169</v>
      </c>
      <c r="S29" s="19">
        <v>46170</v>
      </c>
      <c r="T29" s="23">
        <v>46170</v>
      </c>
      <c r="U29" s="19">
        <v>46170</v>
      </c>
      <c r="V29" s="23">
        <v>46170</v>
      </c>
      <c r="W29" s="19">
        <v>46170</v>
      </c>
      <c r="X29" s="23">
        <v>46170</v>
      </c>
      <c r="Y29" s="66">
        <v>46174</v>
      </c>
      <c r="Z29" s="57">
        <v>46174</v>
      </c>
      <c r="AA29" s="68">
        <v>46210</v>
      </c>
      <c r="AB29" s="23">
        <v>46210</v>
      </c>
      <c r="AC29" s="19">
        <v>46211</v>
      </c>
      <c r="AD29" s="20">
        <v>46211</v>
      </c>
      <c r="AE29" s="19">
        <v>46211</v>
      </c>
      <c r="AF29" s="20">
        <v>46211</v>
      </c>
    </row>
    <row r="30" spans="2:32" s="1" customFormat="1" ht="15.95" customHeight="1" x14ac:dyDescent="0.25">
      <c r="B30" s="14">
        <v>68</v>
      </c>
      <c r="C30" s="15">
        <v>12</v>
      </c>
      <c r="D30" s="15" t="s">
        <v>69</v>
      </c>
      <c r="E30" s="16" t="s">
        <v>41</v>
      </c>
      <c r="F30" s="25" t="s">
        <v>31</v>
      </c>
      <c r="G30" s="18">
        <v>46167</v>
      </c>
      <c r="H30" s="21">
        <v>46107</v>
      </c>
      <c r="I30" s="54">
        <v>46106</v>
      </c>
      <c r="J30" s="65">
        <v>46168</v>
      </c>
      <c r="K30" s="54">
        <v>46168</v>
      </c>
      <c r="L30" s="22">
        <v>61</v>
      </c>
      <c r="M30" s="19">
        <v>46169</v>
      </c>
      <c r="N30" s="23">
        <v>46169</v>
      </c>
      <c r="O30" s="66">
        <v>46170</v>
      </c>
      <c r="P30" s="54">
        <v>46170</v>
      </c>
      <c r="Q30" s="19">
        <v>46170</v>
      </c>
      <c r="R30" s="20">
        <v>46170</v>
      </c>
      <c r="S30" s="19">
        <v>46171</v>
      </c>
      <c r="T30" s="23">
        <v>46171</v>
      </c>
      <c r="U30" s="19">
        <v>46171</v>
      </c>
      <c r="V30" s="23">
        <v>46171</v>
      </c>
      <c r="W30" s="19">
        <v>46171</v>
      </c>
      <c r="X30" s="23">
        <v>46171</v>
      </c>
      <c r="Y30" s="66">
        <v>46175</v>
      </c>
      <c r="Z30" s="57">
        <v>46175</v>
      </c>
      <c r="AA30" s="68">
        <v>46209</v>
      </c>
      <c r="AB30" s="23">
        <v>46209</v>
      </c>
      <c r="AC30" s="19">
        <v>46210</v>
      </c>
      <c r="AD30" s="20">
        <v>46210</v>
      </c>
      <c r="AE30" s="19">
        <v>46210</v>
      </c>
      <c r="AF30" s="20">
        <v>46210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46147</v>
      </c>
      <c r="H31" s="19">
        <v>46118</v>
      </c>
      <c r="I31" s="20">
        <v>46118</v>
      </c>
      <c r="J31" s="55">
        <v>46148</v>
      </c>
      <c r="K31" s="54">
        <v>46148</v>
      </c>
      <c r="L31" s="56">
        <v>30</v>
      </c>
      <c r="M31" s="19">
        <v>46148</v>
      </c>
      <c r="N31" s="23">
        <v>46148</v>
      </c>
      <c r="O31" s="19">
        <v>46148</v>
      </c>
      <c r="P31" s="23">
        <v>46148</v>
      </c>
      <c r="Q31" s="19">
        <v>46148</v>
      </c>
      <c r="R31" s="20">
        <v>46148</v>
      </c>
      <c r="S31" s="19">
        <v>46148</v>
      </c>
      <c r="T31" s="20">
        <v>46148</v>
      </c>
      <c r="U31" s="19">
        <v>46148</v>
      </c>
      <c r="V31" s="20">
        <v>46148</v>
      </c>
      <c r="W31" s="19">
        <v>46148</v>
      </c>
      <c r="X31" s="20">
        <v>46148</v>
      </c>
      <c r="Y31" s="19">
        <v>46148</v>
      </c>
      <c r="Z31" s="23">
        <v>46148</v>
      </c>
      <c r="AA31" s="19">
        <v>46171</v>
      </c>
      <c r="AB31" s="20">
        <v>46171</v>
      </c>
      <c r="AC31" s="19">
        <v>46174</v>
      </c>
      <c r="AD31" s="20">
        <v>46174</v>
      </c>
      <c r="AE31" s="19">
        <v>46174</v>
      </c>
      <c r="AF31" s="20">
        <v>46174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46147</v>
      </c>
      <c r="H32" s="19">
        <v>46118</v>
      </c>
      <c r="I32" s="20">
        <v>46118</v>
      </c>
      <c r="J32" s="55">
        <v>46148</v>
      </c>
      <c r="K32" s="54">
        <v>46148</v>
      </c>
      <c r="L32" s="56">
        <v>30</v>
      </c>
      <c r="M32" s="19">
        <v>46148</v>
      </c>
      <c r="N32" s="23">
        <v>46148</v>
      </c>
      <c r="O32" s="19">
        <v>46148</v>
      </c>
      <c r="P32" s="23">
        <v>46148</v>
      </c>
      <c r="Q32" s="19">
        <v>46148</v>
      </c>
      <c r="R32" s="20">
        <v>46148</v>
      </c>
      <c r="S32" s="19">
        <v>46148</v>
      </c>
      <c r="T32" s="20">
        <v>46148</v>
      </c>
      <c r="U32" s="19">
        <v>46148</v>
      </c>
      <c r="V32" s="20">
        <v>46148</v>
      </c>
      <c r="W32" s="19">
        <v>46148</v>
      </c>
      <c r="X32" s="20">
        <v>46148</v>
      </c>
      <c r="Y32" s="19">
        <v>46148</v>
      </c>
      <c r="Z32" s="23">
        <v>46148</v>
      </c>
      <c r="AA32" s="19">
        <v>46171</v>
      </c>
      <c r="AB32" s="20">
        <v>46171</v>
      </c>
      <c r="AC32" s="19">
        <v>46174</v>
      </c>
      <c r="AD32" s="20">
        <v>46174</v>
      </c>
      <c r="AE32" s="19">
        <v>46174</v>
      </c>
      <c r="AF32" s="20">
        <v>46174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46147</v>
      </c>
      <c r="H33" s="19">
        <v>46118</v>
      </c>
      <c r="I33" s="20">
        <v>46118</v>
      </c>
      <c r="J33" s="55">
        <v>46148</v>
      </c>
      <c r="K33" s="54">
        <v>46148</v>
      </c>
      <c r="L33" s="56">
        <v>30</v>
      </c>
      <c r="M33" s="19">
        <v>46148</v>
      </c>
      <c r="N33" s="23">
        <v>46148</v>
      </c>
      <c r="O33" s="19">
        <v>46148</v>
      </c>
      <c r="P33" s="23">
        <v>46148</v>
      </c>
      <c r="Q33" s="19">
        <v>46148</v>
      </c>
      <c r="R33" s="20">
        <v>46148</v>
      </c>
      <c r="S33" s="19">
        <v>46148</v>
      </c>
      <c r="T33" s="20">
        <v>46148</v>
      </c>
      <c r="U33" s="19">
        <v>46148</v>
      </c>
      <c r="V33" s="20">
        <v>46148</v>
      </c>
      <c r="W33" s="19">
        <v>46148</v>
      </c>
      <c r="X33" s="20">
        <v>46148</v>
      </c>
      <c r="Y33" s="19">
        <v>46148</v>
      </c>
      <c r="Z33" s="23">
        <v>46148</v>
      </c>
      <c r="AA33" s="19">
        <v>46171</v>
      </c>
      <c r="AB33" s="20">
        <v>46171</v>
      </c>
      <c r="AC33" s="19">
        <v>46174</v>
      </c>
      <c r="AD33" s="20">
        <v>46174</v>
      </c>
      <c r="AE33" s="19">
        <v>46174</v>
      </c>
      <c r="AF33" s="20">
        <v>46174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46150</v>
      </c>
      <c r="H34" s="19">
        <v>46122</v>
      </c>
      <c r="I34" s="20">
        <v>46122</v>
      </c>
      <c r="J34" s="55">
        <v>46152</v>
      </c>
      <c r="K34" s="54">
        <v>46152</v>
      </c>
      <c r="L34" s="22">
        <v>30</v>
      </c>
      <c r="M34" s="19">
        <v>46152</v>
      </c>
      <c r="N34" s="23">
        <v>46152</v>
      </c>
      <c r="O34" s="19">
        <v>46152</v>
      </c>
      <c r="P34" s="23">
        <v>46152</v>
      </c>
      <c r="Q34" s="19">
        <v>46152</v>
      </c>
      <c r="R34" s="20">
        <v>46152</v>
      </c>
      <c r="S34" s="19">
        <v>46152</v>
      </c>
      <c r="T34" s="20">
        <v>46152</v>
      </c>
      <c r="U34" s="19">
        <v>46152</v>
      </c>
      <c r="V34" s="20">
        <v>46152</v>
      </c>
      <c r="W34" s="19">
        <v>46152</v>
      </c>
      <c r="X34" s="20">
        <v>46152</v>
      </c>
      <c r="Y34" s="19">
        <v>46152</v>
      </c>
      <c r="Z34" s="23">
        <v>46152</v>
      </c>
      <c r="AA34" s="19">
        <v>46157</v>
      </c>
      <c r="AB34" s="20">
        <v>46157</v>
      </c>
      <c r="AC34" s="19">
        <v>46161</v>
      </c>
      <c r="AD34" s="20">
        <v>46161</v>
      </c>
      <c r="AE34" s="19">
        <v>46161</v>
      </c>
      <c r="AF34" s="20">
        <v>46161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46150</v>
      </c>
      <c r="H35" s="19">
        <v>46122</v>
      </c>
      <c r="I35" s="20">
        <v>46122</v>
      </c>
      <c r="J35" s="55">
        <v>46152</v>
      </c>
      <c r="K35" s="54">
        <v>46152</v>
      </c>
      <c r="L35" s="22">
        <v>30</v>
      </c>
      <c r="M35" s="19">
        <v>46152</v>
      </c>
      <c r="N35" s="23">
        <v>46152</v>
      </c>
      <c r="O35" s="19">
        <v>46152</v>
      </c>
      <c r="P35" s="23">
        <v>46152</v>
      </c>
      <c r="Q35" s="19">
        <v>46152</v>
      </c>
      <c r="R35" s="20">
        <v>46152</v>
      </c>
      <c r="S35" s="19">
        <v>46152</v>
      </c>
      <c r="T35" s="20">
        <v>46152</v>
      </c>
      <c r="U35" s="19">
        <v>46152</v>
      </c>
      <c r="V35" s="20">
        <v>46152</v>
      </c>
      <c r="W35" s="19">
        <v>46152</v>
      </c>
      <c r="X35" s="20">
        <v>46152</v>
      </c>
      <c r="Y35" s="19">
        <v>46152</v>
      </c>
      <c r="Z35" s="23">
        <v>46152</v>
      </c>
      <c r="AA35" s="19">
        <v>46157</v>
      </c>
      <c r="AB35" s="20">
        <v>46157</v>
      </c>
      <c r="AC35" s="19">
        <v>46161</v>
      </c>
      <c r="AD35" s="20">
        <v>46161</v>
      </c>
      <c r="AE35" s="19">
        <v>46161</v>
      </c>
      <c r="AF35" s="20">
        <v>46161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46154</v>
      </c>
      <c r="H36" s="19">
        <v>46125</v>
      </c>
      <c r="I36" s="20">
        <v>46125</v>
      </c>
      <c r="J36" s="55">
        <v>46155</v>
      </c>
      <c r="K36" s="54">
        <v>46155</v>
      </c>
      <c r="L36" s="22">
        <v>30</v>
      </c>
      <c r="M36" s="19">
        <v>46155</v>
      </c>
      <c r="N36" s="23">
        <v>46155</v>
      </c>
      <c r="O36" s="19">
        <v>46155</v>
      </c>
      <c r="P36" s="23">
        <v>46155</v>
      </c>
      <c r="Q36" s="19">
        <v>46155</v>
      </c>
      <c r="R36" s="20">
        <v>46155</v>
      </c>
      <c r="S36" s="19">
        <v>46155</v>
      </c>
      <c r="T36" s="20">
        <v>46155</v>
      </c>
      <c r="U36" s="19">
        <v>46155</v>
      </c>
      <c r="V36" s="20">
        <v>46155</v>
      </c>
      <c r="W36" s="19">
        <v>46155</v>
      </c>
      <c r="X36" s="20">
        <v>46155</v>
      </c>
      <c r="Y36" s="19">
        <v>46155</v>
      </c>
      <c r="Z36" s="23">
        <v>46155</v>
      </c>
      <c r="AA36" s="19">
        <v>46185</v>
      </c>
      <c r="AB36" s="20">
        <v>46185</v>
      </c>
      <c r="AC36" s="19">
        <v>46189</v>
      </c>
      <c r="AD36" s="20">
        <v>46189</v>
      </c>
      <c r="AE36" s="19">
        <v>46189</v>
      </c>
      <c r="AF36" s="20">
        <v>46189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46154</v>
      </c>
      <c r="H37" s="19">
        <v>46125</v>
      </c>
      <c r="I37" s="20">
        <v>46125</v>
      </c>
      <c r="J37" s="55">
        <v>46155</v>
      </c>
      <c r="K37" s="54">
        <v>46155</v>
      </c>
      <c r="L37" s="22">
        <v>30</v>
      </c>
      <c r="M37" s="19">
        <v>46155</v>
      </c>
      <c r="N37" s="23">
        <v>46155</v>
      </c>
      <c r="O37" s="19">
        <v>46155</v>
      </c>
      <c r="P37" s="23">
        <v>46155</v>
      </c>
      <c r="Q37" s="19">
        <v>46155</v>
      </c>
      <c r="R37" s="20">
        <v>46155</v>
      </c>
      <c r="S37" s="19">
        <v>46155</v>
      </c>
      <c r="T37" s="20">
        <v>46155</v>
      </c>
      <c r="U37" s="19">
        <v>46155</v>
      </c>
      <c r="V37" s="20">
        <v>46155</v>
      </c>
      <c r="W37" s="19">
        <v>46155</v>
      </c>
      <c r="X37" s="20">
        <v>46155</v>
      </c>
      <c r="Y37" s="19">
        <v>46155</v>
      </c>
      <c r="Z37" s="23">
        <v>46155</v>
      </c>
      <c r="AA37" s="19">
        <v>46174</v>
      </c>
      <c r="AB37" s="20">
        <v>46174</v>
      </c>
      <c r="AC37" s="19">
        <v>46175</v>
      </c>
      <c r="AD37" s="20">
        <v>46175</v>
      </c>
      <c r="AE37" s="19">
        <v>46175</v>
      </c>
      <c r="AF37" s="20">
        <v>46175</v>
      </c>
    </row>
    <row r="38" spans="2:32" s="1" customFormat="1" ht="15.95" customHeight="1" x14ac:dyDescent="0.25">
      <c r="B38" s="29">
        <v>58</v>
      </c>
      <c r="C38" s="31">
        <v>11</v>
      </c>
      <c r="D38" s="31" t="s">
        <v>57</v>
      </c>
      <c r="E38" s="32" t="s">
        <v>58</v>
      </c>
      <c r="F38" s="25" t="s">
        <v>28</v>
      </c>
      <c r="G38" s="18">
        <v>46156</v>
      </c>
      <c r="H38" s="19">
        <v>46127</v>
      </c>
      <c r="I38" s="20">
        <v>46127</v>
      </c>
      <c r="J38" s="55">
        <v>46157</v>
      </c>
      <c r="K38" s="54">
        <v>46157</v>
      </c>
      <c r="L38" s="22">
        <v>30</v>
      </c>
      <c r="M38" s="19">
        <v>46157</v>
      </c>
      <c r="N38" s="23">
        <v>46157</v>
      </c>
      <c r="O38" s="19">
        <v>46157</v>
      </c>
      <c r="P38" s="23">
        <v>46157</v>
      </c>
      <c r="Q38" s="19">
        <v>46157</v>
      </c>
      <c r="R38" s="20">
        <v>46157</v>
      </c>
      <c r="S38" s="19">
        <v>46157</v>
      </c>
      <c r="T38" s="20">
        <v>46157</v>
      </c>
      <c r="U38" s="19">
        <v>46157</v>
      </c>
      <c r="V38" s="20">
        <v>46157</v>
      </c>
      <c r="W38" s="19">
        <v>46157</v>
      </c>
      <c r="X38" s="20">
        <v>46157</v>
      </c>
      <c r="Y38" s="19">
        <v>46157</v>
      </c>
      <c r="Z38" s="23">
        <v>46157</v>
      </c>
      <c r="AA38" s="19">
        <v>46167</v>
      </c>
      <c r="AB38" s="20">
        <v>46167</v>
      </c>
      <c r="AC38" s="19">
        <v>46168</v>
      </c>
      <c r="AD38" s="20">
        <v>46168</v>
      </c>
      <c r="AE38" s="19">
        <v>46168</v>
      </c>
      <c r="AF38" s="20">
        <v>46168</v>
      </c>
    </row>
    <row r="39" spans="2:32" s="1" customFormat="1" ht="15.95" customHeight="1" x14ac:dyDescent="0.25">
      <c r="B39" s="29">
        <v>92</v>
      </c>
      <c r="C39" s="31">
        <v>11</v>
      </c>
      <c r="D39" s="31" t="s">
        <v>51</v>
      </c>
      <c r="E39" s="32" t="s">
        <v>59</v>
      </c>
      <c r="F39" s="25" t="s">
        <v>28</v>
      </c>
      <c r="G39" s="18">
        <v>46156</v>
      </c>
      <c r="H39" s="19">
        <v>46127</v>
      </c>
      <c r="I39" s="20">
        <v>46127</v>
      </c>
      <c r="J39" s="55">
        <v>46157</v>
      </c>
      <c r="K39" s="54">
        <v>46157</v>
      </c>
      <c r="L39" s="22">
        <v>30</v>
      </c>
      <c r="M39" s="19">
        <v>46157</v>
      </c>
      <c r="N39" s="23">
        <v>46157</v>
      </c>
      <c r="O39" s="19">
        <v>46157</v>
      </c>
      <c r="P39" s="23">
        <v>46157</v>
      </c>
      <c r="Q39" s="19">
        <v>46157</v>
      </c>
      <c r="R39" s="20">
        <v>46157</v>
      </c>
      <c r="S39" s="19">
        <v>46157</v>
      </c>
      <c r="T39" s="20">
        <v>46157</v>
      </c>
      <c r="U39" s="19">
        <v>46157</v>
      </c>
      <c r="V39" s="20">
        <v>46157</v>
      </c>
      <c r="W39" s="19">
        <v>46157</v>
      </c>
      <c r="X39" s="20">
        <v>46157</v>
      </c>
      <c r="Y39" s="19">
        <v>46157</v>
      </c>
      <c r="Z39" s="23">
        <v>46157</v>
      </c>
      <c r="AA39" s="19">
        <v>46167</v>
      </c>
      <c r="AB39" s="20">
        <v>46167</v>
      </c>
      <c r="AC39" s="19">
        <v>46168</v>
      </c>
      <c r="AD39" s="20">
        <v>46168</v>
      </c>
      <c r="AE39" s="19">
        <v>46168</v>
      </c>
      <c r="AF39" s="20">
        <v>46168</v>
      </c>
    </row>
    <row r="40" spans="2:32" s="1" customFormat="1" ht="15.95" customHeight="1" x14ac:dyDescent="0.25">
      <c r="B40" s="29">
        <v>93</v>
      </c>
      <c r="C40" s="31">
        <v>11</v>
      </c>
      <c r="D40" s="31" t="s">
        <v>60</v>
      </c>
      <c r="E40" s="32" t="s">
        <v>61</v>
      </c>
      <c r="F40" s="25" t="s">
        <v>28</v>
      </c>
      <c r="G40" s="18">
        <v>46155</v>
      </c>
      <c r="H40" s="19">
        <v>46127</v>
      </c>
      <c r="I40" s="20">
        <v>46127</v>
      </c>
      <c r="J40" s="55">
        <v>46156</v>
      </c>
      <c r="K40" s="54">
        <v>46156</v>
      </c>
      <c r="L40" s="22">
        <v>29</v>
      </c>
      <c r="M40" s="19">
        <v>46156</v>
      </c>
      <c r="N40" s="23">
        <v>46156</v>
      </c>
      <c r="O40" s="19">
        <v>46156</v>
      </c>
      <c r="P40" s="23">
        <v>46156</v>
      </c>
      <c r="Q40" s="19">
        <v>46156</v>
      </c>
      <c r="R40" s="20">
        <v>46156</v>
      </c>
      <c r="S40" s="19">
        <v>46156</v>
      </c>
      <c r="T40" s="20">
        <v>46156</v>
      </c>
      <c r="U40" s="19">
        <v>46156</v>
      </c>
      <c r="V40" s="20">
        <v>46156</v>
      </c>
      <c r="W40" s="19">
        <v>46156</v>
      </c>
      <c r="X40" s="20">
        <v>46156</v>
      </c>
      <c r="Y40" s="19">
        <v>46156</v>
      </c>
      <c r="Z40" s="23">
        <v>46156</v>
      </c>
      <c r="AA40" s="19">
        <v>46183</v>
      </c>
      <c r="AB40" s="20">
        <v>46183</v>
      </c>
      <c r="AC40" s="19">
        <v>46184</v>
      </c>
      <c r="AD40" s="20">
        <v>46184</v>
      </c>
      <c r="AE40" s="19">
        <v>46184</v>
      </c>
      <c r="AF40" s="20">
        <v>46184</v>
      </c>
    </row>
    <row r="41" spans="2:32" s="1" customFormat="1" ht="15.95" customHeight="1" x14ac:dyDescent="0.25">
      <c r="B41" s="29">
        <v>89</v>
      </c>
      <c r="C41" s="31">
        <v>11</v>
      </c>
      <c r="D41" s="31" t="s">
        <v>47</v>
      </c>
      <c r="E41" s="32" t="s">
        <v>62</v>
      </c>
      <c r="F41" s="25" t="s">
        <v>28</v>
      </c>
      <c r="G41" s="18">
        <v>46156</v>
      </c>
      <c r="H41" s="19">
        <v>46128</v>
      </c>
      <c r="I41" s="20">
        <v>46128</v>
      </c>
      <c r="J41" s="55">
        <v>46157</v>
      </c>
      <c r="K41" s="54">
        <v>46157</v>
      </c>
      <c r="L41" s="22">
        <v>29</v>
      </c>
      <c r="M41" s="19">
        <v>46157</v>
      </c>
      <c r="N41" s="23">
        <v>46157</v>
      </c>
      <c r="O41" s="19">
        <v>46157</v>
      </c>
      <c r="P41" s="23">
        <v>46157</v>
      </c>
      <c r="Q41" s="19">
        <v>46157</v>
      </c>
      <c r="R41" s="20">
        <v>46157</v>
      </c>
      <c r="S41" s="19">
        <v>46157</v>
      </c>
      <c r="T41" s="20">
        <v>46157</v>
      </c>
      <c r="U41" s="19">
        <v>46157</v>
      </c>
      <c r="V41" s="20">
        <v>46157</v>
      </c>
      <c r="W41" s="19">
        <v>46157</v>
      </c>
      <c r="X41" s="20">
        <v>46157</v>
      </c>
      <c r="Y41" s="19">
        <v>46157</v>
      </c>
      <c r="Z41" s="23">
        <v>46157</v>
      </c>
      <c r="AA41" s="19">
        <v>46183</v>
      </c>
      <c r="AB41" s="20">
        <v>46183</v>
      </c>
      <c r="AC41" s="19">
        <v>46184</v>
      </c>
      <c r="AD41" s="20">
        <v>46184</v>
      </c>
      <c r="AE41" s="19">
        <v>46184</v>
      </c>
      <c r="AF41" s="20">
        <v>46184</v>
      </c>
    </row>
    <row r="42" spans="2:32" s="1" customFormat="1" ht="15.95" customHeight="1" x14ac:dyDescent="0.25">
      <c r="B42" s="29">
        <v>81</v>
      </c>
      <c r="C42" s="31">
        <v>11</v>
      </c>
      <c r="D42" s="31" t="s">
        <v>81</v>
      </c>
      <c r="E42" s="32" t="s">
        <v>63</v>
      </c>
      <c r="F42" s="25" t="s">
        <v>28</v>
      </c>
      <c r="G42" s="18">
        <v>46161</v>
      </c>
      <c r="H42" s="19">
        <v>46132</v>
      </c>
      <c r="I42" s="20">
        <v>46132</v>
      </c>
      <c r="J42" s="55">
        <v>46162</v>
      </c>
      <c r="K42" s="54">
        <v>46162</v>
      </c>
      <c r="L42" s="22">
        <v>30</v>
      </c>
      <c r="M42" s="19">
        <v>46162</v>
      </c>
      <c r="N42" s="23">
        <v>46162</v>
      </c>
      <c r="O42" s="19">
        <v>46162</v>
      </c>
      <c r="P42" s="23">
        <v>46162</v>
      </c>
      <c r="Q42" s="19">
        <v>46162</v>
      </c>
      <c r="R42" s="20">
        <v>46162</v>
      </c>
      <c r="S42" s="19">
        <v>46162</v>
      </c>
      <c r="T42" s="20">
        <v>46162</v>
      </c>
      <c r="U42" s="19">
        <v>46162</v>
      </c>
      <c r="V42" s="20">
        <v>46162</v>
      </c>
      <c r="W42" s="19">
        <v>46162</v>
      </c>
      <c r="X42" s="20">
        <v>46162</v>
      </c>
      <c r="Y42" s="19">
        <v>46162</v>
      </c>
      <c r="Z42" s="23">
        <v>46162</v>
      </c>
      <c r="AA42" s="19">
        <v>46189</v>
      </c>
      <c r="AB42" s="20">
        <v>46189</v>
      </c>
      <c r="AC42" s="19">
        <v>46190</v>
      </c>
      <c r="AD42" s="20">
        <v>46190</v>
      </c>
      <c r="AE42" s="19">
        <v>46190</v>
      </c>
      <c r="AF42" s="20">
        <v>46190</v>
      </c>
    </row>
    <row r="43" spans="2:32" s="1" customFormat="1" ht="15.95" customHeight="1" x14ac:dyDescent="0.25">
      <c r="B43" s="29">
        <v>79</v>
      </c>
      <c r="C43" s="31">
        <v>11</v>
      </c>
      <c r="D43" s="31" t="s">
        <v>47</v>
      </c>
      <c r="E43" s="32" t="s">
        <v>64</v>
      </c>
      <c r="F43" s="25" t="s">
        <v>28</v>
      </c>
      <c r="G43" s="18">
        <v>46164</v>
      </c>
      <c r="H43" s="19">
        <v>46136</v>
      </c>
      <c r="I43" s="20">
        <v>46136</v>
      </c>
      <c r="J43" s="55">
        <v>46167</v>
      </c>
      <c r="K43" s="54">
        <v>46167</v>
      </c>
      <c r="L43" s="22">
        <v>31</v>
      </c>
      <c r="M43" s="19">
        <v>46167</v>
      </c>
      <c r="N43" s="23">
        <v>46167</v>
      </c>
      <c r="O43" s="19">
        <v>46167</v>
      </c>
      <c r="P43" s="23">
        <v>46167</v>
      </c>
      <c r="Q43" s="19">
        <v>46167</v>
      </c>
      <c r="R43" s="20">
        <v>46167</v>
      </c>
      <c r="S43" s="19">
        <v>46167</v>
      </c>
      <c r="T43" s="20">
        <v>46167</v>
      </c>
      <c r="U43" s="19">
        <v>46167</v>
      </c>
      <c r="V43" s="20">
        <v>46167</v>
      </c>
      <c r="W43" s="19">
        <v>46167</v>
      </c>
      <c r="X43" s="20">
        <v>46167</v>
      </c>
      <c r="Y43" s="19">
        <v>46167</v>
      </c>
      <c r="Z43" s="23">
        <v>46167</v>
      </c>
      <c r="AA43" s="19">
        <v>46192</v>
      </c>
      <c r="AB43" s="20">
        <v>46192</v>
      </c>
      <c r="AC43" s="19">
        <v>46195</v>
      </c>
      <c r="AD43" s="20">
        <v>46195</v>
      </c>
      <c r="AE43" s="19">
        <v>46195</v>
      </c>
      <c r="AF43" s="20">
        <v>46195</v>
      </c>
    </row>
    <row r="44" spans="2:32" s="1" customFormat="1" ht="15.95" customHeight="1" x14ac:dyDescent="0.25">
      <c r="B44" s="29">
        <v>95</v>
      </c>
      <c r="C44" s="30" t="s">
        <v>46</v>
      </c>
      <c r="D44" s="31" t="s">
        <v>60</v>
      </c>
      <c r="E44" s="32" t="s">
        <v>65</v>
      </c>
      <c r="F44" s="25" t="s">
        <v>28</v>
      </c>
      <c r="G44" s="18">
        <v>46169</v>
      </c>
      <c r="H44" s="19">
        <v>46141</v>
      </c>
      <c r="I44" s="20">
        <v>46141</v>
      </c>
      <c r="J44" s="55">
        <v>46170</v>
      </c>
      <c r="K44" s="54">
        <v>46170</v>
      </c>
      <c r="L44" s="22">
        <v>29</v>
      </c>
      <c r="M44" s="19">
        <v>46170</v>
      </c>
      <c r="N44" s="23">
        <v>46170</v>
      </c>
      <c r="O44" s="19">
        <v>46170</v>
      </c>
      <c r="P44" s="23">
        <v>46170</v>
      </c>
      <c r="Q44" s="19">
        <v>46170</v>
      </c>
      <c r="R44" s="20">
        <v>46170</v>
      </c>
      <c r="S44" s="19">
        <v>46170</v>
      </c>
      <c r="T44" s="20">
        <v>46170</v>
      </c>
      <c r="U44" s="19">
        <v>46170</v>
      </c>
      <c r="V44" s="20">
        <v>46170</v>
      </c>
      <c r="W44" s="19">
        <v>46170</v>
      </c>
      <c r="X44" s="20">
        <v>46170</v>
      </c>
      <c r="Y44" s="19">
        <v>46170</v>
      </c>
      <c r="Z44" s="23">
        <v>46170</v>
      </c>
      <c r="AA44" s="19">
        <v>46189</v>
      </c>
      <c r="AB44" s="20">
        <v>46189</v>
      </c>
      <c r="AC44" s="19">
        <v>46190</v>
      </c>
      <c r="AD44" s="20">
        <v>46190</v>
      </c>
      <c r="AE44" s="19">
        <v>46190</v>
      </c>
      <c r="AF44" s="20">
        <v>46190</v>
      </c>
    </row>
    <row r="45" spans="2:32" s="1" customFormat="1" ht="15.95" customHeight="1" x14ac:dyDescent="0.25">
      <c r="B45" s="29">
        <v>95</v>
      </c>
      <c r="C45" s="30" t="s">
        <v>49</v>
      </c>
      <c r="D45" s="31" t="s">
        <v>60</v>
      </c>
      <c r="E45" s="32" t="s">
        <v>65</v>
      </c>
      <c r="F45" s="25" t="s">
        <v>28</v>
      </c>
      <c r="G45" s="18">
        <v>46169</v>
      </c>
      <c r="H45" s="19">
        <v>46141</v>
      </c>
      <c r="I45" s="20">
        <v>46141</v>
      </c>
      <c r="J45" s="55">
        <v>46170</v>
      </c>
      <c r="K45" s="54">
        <v>46170</v>
      </c>
      <c r="L45" s="22">
        <v>29</v>
      </c>
      <c r="M45" s="19">
        <v>46170</v>
      </c>
      <c r="N45" s="23">
        <v>46170</v>
      </c>
      <c r="O45" s="19">
        <v>46170</v>
      </c>
      <c r="P45" s="23">
        <v>46170</v>
      </c>
      <c r="Q45" s="19">
        <v>46170</v>
      </c>
      <c r="R45" s="20">
        <v>46170</v>
      </c>
      <c r="S45" s="19">
        <v>46170</v>
      </c>
      <c r="T45" s="20">
        <v>46170</v>
      </c>
      <c r="U45" s="19">
        <v>46170</v>
      </c>
      <c r="V45" s="20">
        <v>46170</v>
      </c>
      <c r="W45" s="19">
        <v>46170</v>
      </c>
      <c r="X45" s="20">
        <v>46170</v>
      </c>
      <c r="Y45" s="19">
        <v>46170</v>
      </c>
      <c r="Z45" s="23">
        <v>46170</v>
      </c>
      <c r="AA45" s="19">
        <v>46189</v>
      </c>
      <c r="AB45" s="20">
        <v>46189</v>
      </c>
      <c r="AC45" s="19">
        <v>46190</v>
      </c>
      <c r="AD45" s="20">
        <v>46190</v>
      </c>
      <c r="AE45" s="19">
        <v>46190</v>
      </c>
      <c r="AF45" s="20">
        <v>46190</v>
      </c>
    </row>
    <row r="46" spans="2:32" s="1" customFormat="1" ht="15.95" customHeight="1" x14ac:dyDescent="0.25">
      <c r="B46" s="29">
        <v>95</v>
      </c>
      <c r="C46" s="30" t="s">
        <v>50</v>
      </c>
      <c r="D46" s="31" t="s">
        <v>60</v>
      </c>
      <c r="E46" s="32" t="s">
        <v>65</v>
      </c>
      <c r="F46" s="25" t="s">
        <v>28</v>
      </c>
      <c r="G46" s="18">
        <v>46169</v>
      </c>
      <c r="H46" s="19">
        <v>46141</v>
      </c>
      <c r="I46" s="20">
        <v>46141</v>
      </c>
      <c r="J46" s="55">
        <v>46170</v>
      </c>
      <c r="K46" s="54">
        <v>46170</v>
      </c>
      <c r="L46" s="22">
        <v>29</v>
      </c>
      <c r="M46" s="19">
        <v>46170</v>
      </c>
      <c r="N46" s="23">
        <v>46170</v>
      </c>
      <c r="O46" s="19">
        <v>46170</v>
      </c>
      <c r="P46" s="23">
        <v>46170</v>
      </c>
      <c r="Q46" s="19">
        <v>46170</v>
      </c>
      <c r="R46" s="20">
        <v>46170</v>
      </c>
      <c r="S46" s="19">
        <v>46170</v>
      </c>
      <c r="T46" s="20">
        <v>46170</v>
      </c>
      <c r="U46" s="19">
        <v>46170</v>
      </c>
      <c r="V46" s="20">
        <v>46170</v>
      </c>
      <c r="W46" s="19">
        <v>46170</v>
      </c>
      <c r="X46" s="20">
        <v>46170</v>
      </c>
      <c r="Y46" s="19">
        <v>46170</v>
      </c>
      <c r="Z46" s="23">
        <v>46170</v>
      </c>
      <c r="AA46" s="19">
        <v>46189</v>
      </c>
      <c r="AB46" s="20">
        <v>46189</v>
      </c>
      <c r="AC46" s="19">
        <v>46190</v>
      </c>
      <c r="AD46" s="20">
        <v>46190</v>
      </c>
      <c r="AE46" s="19">
        <v>46190</v>
      </c>
      <c r="AF46" s="20">
        <v>46190</v>
      </c>
    </row>
    <row r="47" spans="2:32" s="1" customFormat="1" ht="15.95" customHeight="1" x14ac:dyDescent="0.25">
      <c r="B47" s="29">
        <v>77</v>
      </c>
      <c r="C47" s="30" t="s">
        <v>46</v>
      </c>
      <c r="D47" s="31" t="s">
        <v>47</v>
      </c>
      <c r="E47" s="32" t="s">
        <v>66</v>
      </c>
      <c r="F47" s="25" t="s">
        <v>28</v>
      </c>
      <c r="G47" s="18">
        <v>46170</v>
      </c>
      <c r="H47" s="19">
        <v>46142</v>
      </c>
      <c r="I47" s="20">
        <v>46142</v>
      </c>
      <c r="J47" s="55">
        <v>46171</v>
      </c>
      <c r="K47" s="54">
        <v>46171</v>
      </c>
      <c r="L47" s="22">
        <v>29</v>
      </c>
      <c r="M47" s="19">
        <v>46171</v>
      </c>
      <c r="N47" s="23">
        <v>46171</v>
      </c>
      <c r="O47" s="19">
        <v>46171</v>
      </c>
      <c r="P47" s="23">
        <v>46171</v>
      </c>
      <c r="Q47" s="19">
        <v>46171</v>
      </c>
      <c r="R47" s="20">
        <v>46171</v>
      </c>
      <c r="S47" s="19">
        <v>46171</v>
      </c>
      <c r="T47" s="20">
        <v>46171</v>
      </c>
      <c r="U47" s="19">
        <v>46171</v>
      </c>
      <c r="V47" s="20">
        <v>46171</v>
      </c>
      <c r="W47" s="19">
        <v>46171</v>
      </c>
      <c r="X47" s="20">
        <v>46171</v>
      </c>
      <c r="Y47" s="19">
        <v>46171</v>
      </c>
      <c r="Z47" s="23">
        <v>46171</v>
      </c>
      <c r="AA47" s="19">
        <v>46192</v>
      </c>
      <c r="AB47" s="20">
        <v>46192</v>
      </c>
      <c r="AC47" s="19">
        <v>46195</v>
      </c>
      <c r="AD47" s="20">
        <v>46195</v>
      </c>
      <c r="AE47" s="19">
        <v>46195</v>
      </c>
      <c r="AF47" s="20">
        <v>46195</v>
      </c>
    </row>
    <row r="48" spans="2:32" s="1" customFormat="1" ht="15.95" customHeight="1" x14ac:dyDescent="0.25">
      <c r="B48" s="29">
        <v>77</v>
      </c>
      <c r="C48" s="30" t="s">
        <v>49</v>
      </c>
      <c r="D48" s="31" t="s">
        <v>47</v>
      </c>
      <c r="E48" s="32" t="s">
        <v>66</v>
      </c>
      <c r="F48" s="25" t="s">
        <v>28</v>
      </c>
      <c r="G48" s="18">
        <v>46170</v>
      </c>
      <c r="H48" s="19">
        <v>46142</v>
      </c>
      <c r="I48" s="20">
        <v>46142</v>
      </c>
      <c r="J48" s="55">
        <v>46171</v>
      </c>
      <c r="K48" s="54">
        <v>46171</v>
      </c>
      <c r="L48" s="22">
        <v>29</v>
      </c>
      <c r="M48" s="19">
        <v>46171</v>
      </c>
      <c r="N48" s="23">
        <v>46171</v>
      </c>
      <c r="O48" s="19">
        <v>46171</v>
      </c>
      <c r="P48" s="23">
        <v>46171</v>
      </c>
      <c r="Q48" s="19">
        <v>46171</v>
      </c>
      <c r="R48" s="20">
        <v>46171</v>
      </c>
      <c r="S48" s="19">
        <v>46171</v>
      </c>
      <c r="T48" s="20">
        <v>46171</v>
      </c>
      <c r="U48" s="19">
        <v>46171</v>
      </c>
      <c r="V48" s="20">
        <v>46171</v>
      </c>
      <c r="W48" s="19">
        <v>46171</v>
      </c>
      <c r="X48" s="20">
        <v>46171</v>
      </c>
      <c r="Y48" s="19">
        <v>46171</v>
      </c>
      <c r="Z48" s="23">
        <v>46171</v>
      </c>
      <c r="AA48" s="19">
        <v>46192</v>
      </c>
      <c r="AB48" s="20">
        <v>46192</v>
      </c>
      <c r="AC48" s="19">
        <v>46195</v>
      </c>
      <c r="AD48" s="20">
        <v>46195</v>
      </c>
      <c r="AE48" s="19">
        <v>46195</v>
      </c>
      <c r="AF48" s="20">
        <v>46195</v>
      </c>
    </row>
    <row r="49" spans="2:32" s="1" customFormat="1" ht="15.95" customHeight="1" x14ac:dyDescent="0.25">
      <c r="B49" s="29">
        <v>77</v>
      </c>
      <c r="C49" s="30" t="s">
        <v>50</v>
      </c>
      <c r="D49" s="31" t="s">
        <v>47</v>
      </c>
      <c r="E49" s="32" t="s">
        <v>66</v>
      </c>
      <c r="F49" s="25" t="s">
        <v>28</v>
      </c>
      <c r="G49" s="18">
        <v>46170</v>
      </c>
      <c r="H49" s="19">
        <v>46142</v>
      </c>
      <c r="I49" s="20">
        <v>46142</v>
      </c>
      <c r="J49" s="55">
        <v>46171</v>
      </c>
      <c r="K49" s="54">
        <v>46171</v>
      </c>
      <c r="L49" s="22">
        <v>29</v>
      </c>
      <c r="M49" s="19">
        <v>46171</v>
      </c>
      <c r="N49" s="23">
        <v>46171</v>
      </c>
      <c r="O49" s="19">
        <v>46171</v>
      </c>
      <c r="P49" s="23">
        <v>46171</v>
      </c>
      <c r="Q49" s="19">
        <v>46171</v>
      </c>
      <c r="R49" s="20">
        <v>46171</v>
      </c>
      <c r="S49" s="19">
        <v>46171</v>
      </c>
      <c r="T49" s="20">
        <v>46171</v>
      </c>
      <c r="U49" s="19">
        <v>46171</v>
      </c>
      <c r="V49" s="20">
        <v>46171</v>
      </c>
      <c r="W49" s="19">
        <v>46171</v>
      </c>
      <c r="X49" s="20">
        <v>46171</v>
      </c>
      <c r="Y49" s="19">
        <v>46171</v>
      </c>
      <c r="Z49" s="23">
        <v>46171</v>
      </c>
      <c r="AA49" s="19">
        <v>46192</v>
      </c>
      <c r="AB49" s="20">
        <v>46192</v>
      </c>
      <c r="AC49" s="19">
        <v>46195</v>
      </c>
      <c r="AD49" s="20">
        <v>46195</v>
      </c>
      <c r="AE49" s="19">
        <v>46195</v>
      </c>
      <c r="AF49" s="20">
        <v>46195</v>
      </c>
    </row>
    <row r="50" spans="2:32" s="1" customFormat="1" ht="15.95" customHeight="1" x14ac:dyDescent="0.25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s="1" customFormat="1" ht="15.95" customHeight="1" thickBot="1" x14ac:dyDescent="0.3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ht="15.75" hidden="1" thickBot="1" x14ac:dyDescent="0.3"/>
    <row r="53" spans="2:32" ht="15.75" hidden="1" thickBot="1" x14ac:dyDescent="0.3"/>
    <row r="54" spans="2:32" ht="30" customHeight="1" thickBot="1" x14ac:dyDescent="0.3">
      <c r="B54" s="72" t="s">
        <v>83</v>
      </c>
      <c r="C54" s="73"/>
      <c r="D54" s="73"/>
      <c r="E54" s="74"/>
      <c r="F54" s="74"/>
      <c r="G54" s="74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6"/>
    </row>
    <row r="55" spans="2:32" ht="26.25" customHeight="1" thickTop="1" thickBot="1" x14ac:dyDescent="0.3">
      <c r="B55" s="77"/>
      <c r="C55" s="78"/>
      <c r="D55" s="78"/>
      <c r="E55" s="78"/>
      <c r="F55" s="78"/>
      <c r="G55" s="78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80"/>
    </row>
    <row r="56" spans="2:32" x14ac:dyDescent="0.25"/>
    <row r="57" spans="2:32" x14ac:dyDescent="0.25"/>
    <row r="58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4:AF55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1">
    <cfRule type="expression" dxfId="29" priority="1" stopIfTrue="1">
      <formula>IF(H7="",TRUE,FALSE)</formula>
    </cfRule>
  </conditionalFormatting>
  <conditionalFormatting sqref="L7:L51 P50:Q51">
    <cfRule type="expression" dxfId="28" priority="8" stopIfTrue="1">
      <formula>IF(J7="",TRUE,FALSE)</formula>
    </cfRule>
  </conditionalFormatting>
  <conditionalFormatting sqref="L7:L51">
    <cfRule type="expression" dxfId="27" priority="7" stopIfTrue="1">
      <formula>IF(F7="Mensual",OR(L7&gt;32,L7&lt;28), IF(F7="Bimestral",OR(L7&gt;62,L7&lt;58),IF(F7="Trimestral",OR(L7&gt;96,L7&lt;84),FALSE)))</formula>
    </cfRule>
  </conditionalFormatting>
  <conditionalFormatting sqref="N7:N49 P7:P49 R7:R49 K7:K51 T7:T51 V7:V51 X7:X51 Z7:Z51 AB7:AB51 AD7:AD51 AF7:AF51 N50:O51">
    <cfRule type="expression" dxfId="26" priority="9" stopIfTrue="1">
      <formula>IF(J7="",TRUE,FALSE)</formula>
    </cfRule>
  </conditionalFormatting>
  <conditionalFormatting sqref="R50:R51">
    <cfRule type="expression" dxfId="25" priority="10" stopIfTrue="1">
      <formula>IF(O50="",TRUE,FALSE)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96A6A-22B7-4596-B0FC-8F8F9CA82A2D}">
  <dimension ref="B1:AL62"/>
  <sheetViews>
    <sheetView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84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81</v>
      </c>
      <c r="E7" s="50" t="s">
        <v>27</v>
      </c>
      <c r="F7" s="51" t="s">
        <v>28</v>
      </c>
      <c r="G7" s="52">
        <v>46174</v>
      </c>
      <c r="H7" s="53">
        <v>46147</v>
      </c>
      <c r="I7" s="54">
        <v>46147</v>
      </c>
      <c r="J7" s="65">
        <v>46175</v>
      </c>
      <c r="K7" s="54">
        <v>46175</v>
      </c>
      <c r="L7" s="56">
        <v>28</v>
      </c>
      <c r="M7" s="53">
        <v>46176</v>
      </c>
      <c r="N7" s="57">
        <v>46176</v>
      </c>
      <c r="O7" s="66">
        <v>46177</v>
      </c>
      <c r="P7" s="54">
        <v>46177</v>
      </c>
      <c r="Q7" s="53">
        <v>46177</v>
      </c>
      <c r="R7" s="54">
        <v>46177</v>
      </c>
      <c r="S7" s="53">
        <v>46178</v>
      </c>
      <c r="T7" s="57">
        <v>46178</v>
      </c>
      <c r="U7" s="53">
        <v>46178</v>
      </c>
      <c r="V7" s="57">
        <v>46178</v>
      </c>
      <c r="W7" s="53">
        <v>46178</v>
      </c>
      <c r="X7" s="57">
        <v>46178</v>
      </c>
      <c r="Y7" s="66">
        <v>46185</v>
      </c>
      <c r="Z7" s="57">
        <v>46185</v>
      </c>
      <c r="AA7" s="66">
        <v>46195</v>
      </c>
      <c r="AB7" s="57">
        <v>46195</v>
      </c>
      <c r="AC7" s="53">
        <v>46196</v>
      </c>
      <c r="AD7" s="54">
        <v>46196</v>
      </c>
      <c r="AE7" s="53">
        <v>46196</v>
      </c>
      <c r="AF7" s="54">
        <v>46196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69</v>
      </c>
      <c r="E8" s="50" t="s">
        <v>33</v>
      </c>
      <c r="F8" s="59" t="s">
        <v>28</v>
      </c>
      <c r="G8" s="52">
        <v>46175</v>
      </c>
      <c r="H8" s="55">
        <v>46148</v>
      </c>
      <c r="I8" s="54">
        <v>46148</v>
      </c>
      <c r="J8" s="65">
        <v>46176</v>
      </c>
      <c r="K8" s="54">
        <v>46176</v>
      </c>
      <c r="L8" s="56">
        <v>28</v>
      </c>
      <c r="M8" s="53">
        <v>46177</v>
      </c>
      <c r="N8" s="57">
        <v>46177</v>
      </c>
      <c r="O8" s="66">
        <v>46179</v>
      </c>
      <c r="P8" s="54">
        <v>46179</v>
      </c>
      <c r="Q8" s="53">
        <v>46179</v>
      </c>
      <c r="R8" s="54">
        <v>46179</v>
      </c>
      <c r="S8" s="53">
        <v>46182</v>
      </c>
      <c r="T8" s="57">
        <v>46182</v>
      </c>
      <c r="U8" s="53">
        <v>46182</v>
      </c>
      <c r="V8" s="57">
        <v>46182</v>
      </c>
      <c r="W8" s="53">
        <v>46182</v>
      </c>
      <c r="X8" s="57">
        <v>46182</v>
      </c>
      <c r="Y8" s="66">
        <v>46184</v>
      </c>
      <c r="Z8" s="57">
        <v>46184</v>
      </c>
      <c r="AA8" s="66">
        <v>46195</v>
      </c>
      <c r="AB8" s="57">
        <v>46195</v>
      </c>
      <c r="AC8" s="53">
        <v>46196</v>
      </c>
      <c r="AD8" s="54">
        <v>46196</v>
      </c>
      <c r="AE8" s="53">
        <v>46196</v>
      </c>
      <c r="AF8" s="54">
        <v>46196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82</v>
      </c>
      <c r="E9" s="50" t="s">
        <v>27</v>
      </c>
      <c r="F9" s="59" t="s">
        <v>28</v>
      </c>
      <c r="G9" s="52">
        <v>46176</v>
      </c>
      <c r="H9" s="50">
        <v>46149</v>
      </c>
      <c r="I9" s="54">
        <v>46149</v>
      </c>
      <c r="J9" s="67">
        <v>46177</v>
      </c>
      <c r="K9" s="54">
        <v>46177</v>
      </c>
      <c r="L9" s="56">
        <v>28</v>
      </c>
      <c r="M9" s="53">
        <v>46178</v>
      </c>
      <c r="N9" s="57">
        <v>46178</v>
      </c>
      <c r="O9" s="66">
        <v>46179</v>
      </c>
      <c r="P9" s="54">
        <v>46179</v>
      </c>
      <c r="Q9" s="53">
        <v>46179</v>
      </c>
      <c r="R9" s="54">
        <v>46179</v>
      </c>
      <c r="S9" s="53">
        <v>46182</v>
      </c>
      <c r="T9" s="57">
        <v>46182</v>
      </c>
      <c r="U9" s="53">
        <v>46182</v>
      </c>
      <c r="V9" s="57">
        <v>46182</v>
      </c>
      <c r="W9" s="53">
        <v>46182</v>
      </c>
      <c r="X9" s="57">
        <v>46182</v>
      </c>
      <c r="Y9" s="66">
        <v>46184</v>
      </c>
      <c r="Z9" s="57">
        <v>46184</v>
      </c>
      <c r="AA9" s="66">
        <v>46196</v>
      </c>
      <c r="AB9" s="57">
        <v>46196</v>
      </c>
      <c r="AC9" s="53">
        <v>46197</v>
      </c>
      <c r="AD9" s="54">
        <v>46197</v>
      </c>
      <c r="AE9" s="53">
        <v>46197</v>
      </c>
      <c r="AF9" s="54">
        <v>46197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46177</v>
      </c>
      <c r="H10" s="53">
        <v>46150</v>
      </c>
      <c r="I10" s="61">
        <v>46150</v>
      </c>
      <c r="J10" s="67">
        <v>46178</v>
      </c>
      <c r="K10" s="54">
        <v>46178</v>
      </c>
      <c r="L10" s="56">
        <v>28</v>
      </c>
      <c r="M10" s="53">
        <v>46182</v>
      </c>
      <c r="N10" s="57">
        <v>46182</v>
      </c>
      <c r="O10" s="66">
        <v>46183</v>
      </c>
      <c r="P10" s="54">
        <v>46183</v>
      </c>
      <c r="Q10" s="53">
        <v>46183</v>
      </c>
      <c r="R10" s="54">
        <v>46183</v>
      </c>
      <c r="S10" s="53">
        <v>46184</v>
      </c>
      <c r="T10" s="57">
        <v>46184</v>
      </c>
      <c r="U10" s="53">
        <v>46184</v>
      </c>
      <c r="V10" s="57">
        <v>46184</v>
      </c>
      <c r="W10" s="53">
        <v>46184</v>
      </c>
      <c r="X10" s="57">
        <v>46184</v>
      </c>
      <c r="Y10" s="66">
        <v>46186</v>
      </c>
      <c r="Z10" s="57">
        <v>46186</v>
      </c>
      <c r="AA10" s="66">
        <v>46198</v>
      </c>
      <c r="AB10" s="57">
        <v>46198</v>
      </c>
      <c r="AC10" s="53">
        <v>46199</v>
      </c>
      <c r="AD10" s="54">
        <v>46199</v>
      </c>
      <c r="AE10" s="53">
        <v>46199</v>
      </c>
      <c r="AF10" s="54">
        <v>46199</v>
      </c>
    </row>
    <row r="11" spans="2:38" s="48" customFormat="1" ht="15.95" customHeight="1" x14ac:dyDescent="0.2">
      <c r="B11" s="49">
        <v>61</v>
      </c>
      <c r="C11" s="49">
        <v>13</v>
      </c>
      <c r="D11" s="49" t="s">
        <v>82</v>
      </c>
      <c r="E11" s="50" t="s">
        <v>30</v>
      </c>
      <c r="F11" s="51" t="s">
        <v>31</v>
      </c>
      <c r="G11" s="52">
        <v>46178</v>
      </c>
      <c r="H11" s="55">
        <v>46121</v>
      </c>
      <c r="I11" s="54">
        <v>46121</v>
      </c>
      <c r="J11" s="65">
        <v>46179</v>
      </c>
      <c r="K11" s="54">
        <v>46179</v>
      </c>
      <c r="L11" s="56">
        <v>58</v>
      </c>
      <c r="M11" s="53">
        <v>46182</v>
      </c>
      <c r="N11" s="57">
        <v>46182</v>
      </c>
      <c r="O11" s="66">
        <v>46183</v>
      </c>
      <c r="P11" s="54">
        <v>46183</v>
      </c>
      <c r="Q11" s="53">
        <v>46183</v>
      </c>
      <c r="R11" s="54">
        <v>46183</v>
      </c>
      <c r="S11" s="53">
        <v>46184</v>
      </c>
      <c r="T11" s="57">
        <v>46184</v>
      </c>
      <c r="U11" s="53">
        <v>46184</v>
      </c>
      <c r="V11" s="57">
        <v>46184</v>
      </c>
      <c r="W11" s="53">
        <v>46184</v>
      </c>
      <c r="X11" s="57">
        <v>46184</v>
      </c>
      <c r="Y11" s="66">
        <v>46189</v>
      </c>
      <c r="Z11" s="57">
        <v>46189</v>
      </c>
      <c r="AA11" s="66">
        <v>46225</v>
      </c>
      <c r="AB11" s="57">
        <v>46225</v>
      </c>
      <c r="AC11" s="53">
        <v>46226</v>
      </c>
      <c r="AD11" s="54">
        <v>46226</v>
      </c>
      <c r="AE11" s="53">
        <v>46226</v>
      </c>
      <c r="AF11" s="54">
        <v>46226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82</v>
      </c>
      <c r="E12" s="50" t="s">
        <v>36</v>
      </c>
      <c r="F12" s="59" t="s">
        <v>28</v>
      </c>
      <c r="G12" s="52">
        <v>46178</v>
      </c>
      <c r="H12" s="53">
        <v>46153</v>
      </c>
      <c r="I12" s="61">
        <v>46153</v>
      </c>
      <c r="J12" s="67">
        <v>46182</v>
      </c>
      <c r="K12" s="54">
        <v>46182</v>
      </c>
      <c r="L12" s="56">
        <v>29</v>
      </c>
      <c r="M12" s="53">
        <v>46183</v>
      </c>
      <c r="N12" s="57">
        <v>46183</v>
      </c>
      <c r="O12" s="66">
        <v>46184</v>
      </c>
      <c r="P12" s="54">
        <v>46184</v>
      </c>
      <c r="Q12" s="53">
        <v>46184</v>
      </c>
      <c r="R12" s="54">
        <v>46184</v>
      </c>
      <c r="S12" s="53">
        <v>46185</v>
      </c>
      <c r="T12" s="57">
        <v>46185</v>
      </c>
      <c r="U12" s="53">
        <v>46185</v>
      </c>
      <c r="V12" s="57">
        <v>46185</v>
      </c>
      <c r="W12" s="53">
        <v>46185</v>
      </c>
      <c r="X12" s="57">
        <v>46185</v>
      </c>
      <c r="Y12" s="66">
        <v>46189</v>
      </c>
      <c r="Z12" s="57">
        <v>46189</v>
      </c>
      <c r="AA12" s="66">
        <v>46199</v>
      </c>
      <c r="AB12" s="57">
        <v>46199</v>
      </c>
      <c r="AC12" s="53">
        <v>46203</v>
      </c>
      <c r="AD12" s="54">
        <v>46203</v>
      </c>
      <c r="AE12" s="53">
        <v>46203</v>
      </c>
      <c r="AF12" s="54">
        <v>46203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70</v>
      </c>
      <c r="E13" s="50" t="s">
        <v>37</v>
      </c>
      <c r="F13" s="59" t="s">
        <v>28</v>
      </c>
      <c r="G13" s="52">
        <v>46178</v>
      </c>
      <c r="H13" s="53">
        <v>46153</v>
      </c>
      <c r="I13" s="61">
        <v>46153</v>
      </c>
      <c r="J13" s="67">
        <v>46182</v>
      </c>
      <c r="K13" s="54">
        <v>46182</v>
      </c>
      <c r="L13" s="56">
        <v>29</v>
      </c>
      <c r="M13" s="53">
        <v>46183</v>
      </c>
      <c r="N13" s="57">
        <v>46183</v>
      </c>
      <c r="O13" s="66">
        <v>46184</v>
      </c>
      <c r="P13" s="54">
        <v>46184</v>
      </c>
      <c r="Q13" s="53">
        <v>46184</v>
      </c>
      <c r="R13" s="54">
        <v>46184</v>
      </c>
      <c r="S13" s="53">
        <v>46185</v>
      </c>
      <c r="T13" s="57">
        <v>46185</v>
      </c>
      <c r="U13" s="53">
        <v>46185</v>
      </c>
      <c r="V13" s="57">
        <v>46185</v>
      </c>
      <c r="W13" s="53">
        <v>46185</v>
      </c>
      <c r="X13" s="57">
        <v>46185</v>
      </c>
      <c r="Y13" s="66">
        <v>46191</v>
      </c>
      <c r="Z13" s="57">
        <v>46191</v>
      </c>
      <c r="AA13" s="66">
        <v>46200</v>
      </c>
      <c r="AB13" s="57">
        <v>46200</v>
      </c>
      <c r="AC13" s="53">
        <v>46203</v>
      </c>
      <c r="AD13" s="54">
        <v>46203</v>
      </c>
      <c r="AE13" s="53">
        <v>46203</v>
      </c>
      <c r="AF13" s="54">
        <v>46203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69</v>
      </c>
      <c r="E14" s="50" t="s">
        <v>38</v>
      </c>
      <c r="F14" s="59" t="s">
        <v>28</v>
      </c>
      <c r="G14" s="52">
        <v>46178</v>
      </c>
      <c r="H14" s="53">
        <v>46153</v>
      </c>
      <c r="I14" s="61">
        <v>46153</v>
      </c>
      <c r="J14" s="67">
        <v>46182</v>
      </c>
      <c r="K14" s="54">
        <v>46182</v>
      </c>
      <c r="L14" s="56">
        <v>29</v>
      </c>
      <c r="M14" s="53">
        <v>46183</v>
      </c>
      <c r="N14" s="57">
        <v>46183</v>
      </c>
      <c r="O14" s="66">
        <v>46184</v>
      </c>
      <c r="P14" s="54">
        <v>46184</v>
      </c>
      <c r="Q14" s="53">
        <v>46184</v>
      </c>
      <c r="R14" s="54">
        <v>46184</v>
      </c>
      <c r="S14" s="53">
        <v>46185</v>
      </c>
      <c r="T14" s="57">
        <v>46185</v>
      </c>
      <c r="U14" s="53">
        <v>46185</v>
      </c>
      <c r="V14" s="57">
        <v>46185</v>
      </c>
      <c r="W14" s="53">
        <v>46185</v>
      </c>
      <c r="X14" s="57">
        <v>46185</v>
      </c>
      <c r="Y14" s="66">
        <v>46191</v>
      </c>
      <c r="Z14" s="57">
        <v>46191</v>
      </c>
      <c r="AA14" s="66">
        <v>46200</v>
      </c>
      <c r="AB14" s="57">
        <v>46200</v>
      </c>
      <c r="AC14" s="53">
        <v>46203</v>
      </c>
      <c r="AD14" s="54">
        <v>46203</v>
      </c>
      <c r="AE14" s="53">
        <v>46203</v>
      </c>
      <c r="AF14" s="54">
        <v>46203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70</v>
      </c>
      <c r="E15" s="50" t="s">
        <v>39</v>
      </c>
      <c r="F15" s="59" t="s">
        <v>28</v>
      </c>
      <c r="G15" s="52">
        <v>46182</v>
      </c>
      <c r="H15" s="53">
        <v>46154</v>
      </c>
      <c r="I15" s="61">
        <v>46154</v>
      </c>
      <c r="J15" s="67">
        <v>46183</v>
      </c>
      <c r="K15" s="54">
        <v>46183</v>
      </c>
      <c r="L15" s="56">
        <v>29</v>
      </c>
      <c r="M15" s="53">
        <v>46185</v>
      </c>
      <c r="N15" s="57">
        <v>46185</v>
      </c>
      <c r="O15" s="66">
        <v>46189</v>
      </c>
      <c r="P15" s="54">
        <v>46189</v>
      </c>
      <c r="Q15" s="53">
        <v>46190</v>
      </c>
      <c r="R15" s="54">
        <v>46190</v>
      </c>
      <c r="S15" s="53">
        <v>46191</v>
      </c>
      <c r="T15" s="57">
        <v>46191</v>
      </c>
      <c r="U15" s="53">
        <v>46191</v>
      </c>
      <c r="V15" s="57">
        <v>46191</v>
      </c>
      <c r="W15" s="53">
        <v>46191</v>
      </c>
      <c r="X15" s="57">
        <v>46191</v>
      </c>
      <c r="Y15" s="66">
        <v>46198</v>
      </c>
      <c r="Z15" s="57">
        <v>46198</v>
      </c>
      <c r="AA15" s="66">
        <v>46209</v>
      </c>
      <c r="AB15" s="57">
        <v>46209</v>
      </c>
      <c r="AC15" s="53">
        <v>46210</v>
      </c>
      <c r="AD15" s="54">
        <v>46210</v>
      </c>
      <c r="AE15" s="53">
        <v>46210</v>
      </c>
      <c r="AF15" s="54">
        <v>46210</v>
      </c>
    </row>
    <row r="16" spans="2:38" s="48" customFormat="1" ht="15" customHeight="1" x14ac:dyDescent="0.2">
      <c r="B16" s="49">
        <v>60</v>
      </c>
      <c r="C16" s="49">
        <v>13</v>
      </c>
      <c r="D16" s="49" t="s">
        <v>69</v>
      </c>
      <c r="E16" s="50" t="s">
        <v>40</v>
      </c>
      <c r="F16" s="59" t="s">
        <v>31</v>
      </c>
      <c r="G16" s="52">
        <v>46183</v>
      </c>
      <c r="H16" s="50">
        <v>46128</v>
      </c>
      <c r="I16" s="54">
        <v>46128</v>
      </c>
      <c r="J16" s="67">
        <v>46184</v>
      </c>
      <c r="K16" s="54">
        <v>46184</v>
      </c>
      <c r="L16" s="56">
        <v>56</v>
      </c>
      <c r="M16" s="53">
        <v>46185</v>
      </c>
      <c r="N16" s="57">
        <v>46185</v>
      </c>
      <c r="O16" s="66">
        <v>46186</v>
      </c>
      <c r="P16" s="54">
        <v>46186</v>
      </c>
      <c r="Q16" s="53">
        <v>46186</v>
      </c>
      <c r="R16" s="54">
        <v>46186</v>
      </c>
      <c r="S16" s="53">
        <v>46189</v>
      </c>
      <c r="T16" s="57">
        <v>46189</v>
      </c>
      <c r="U16" s="53">
        <v>46189</v>
      </c>
      <c r="V16" s="57">
        <v>46189</v>
      </c>
      <c r="W16" s="53">
        <v>46189</v>
      </c>
      <c r="X16" s="57">
        <v>46189</v>
      </c>
      <c r="Y16" s="66">
        <v>46193</v>
      </c>
      <c r="Z16" s="57">
        <v>46193</v>
      </c>
      <c r="AA16" s="66">
        <v>46227</v>
      </c>
      <c r="AB16" s="57">
        <v>46227</v>
      </c>
      <c r="AC16" s="53">
        <v>46230</v>
      </c>
      <c r="AD16" s="54">
        <v>46230</v>
      </c>
      <c r="AE16" s="53">
        <v>46230</v>
      </c>
      <c r="AF16" s="54">
        <v>46230</v>
      </c>
    </row>
    <row r="17" spans="2:32" s="48" customFormat="1" ht="15.95" customHeight="1" x14ac:dyDescent="0.2">
      <c r="B17" s="49">
        <v>10</v>
      </c>
      <c r="C17" s="49">
        <v>12</v>
      </c>
      <c r="D17" s="49" t="s">
        <v>82</v>
      </c>
      <c r="E17" s="50" t="s">
        <v>41</v>
      </c>
      <c r="F17" s="59" t="s">
        <v>28</v>
      </c>
      <c r="G17" s="52">
        <v>46184</v>
      </c>
      <c r="H17" s="55">
        <v>46155</v>
      </c>
      <c r="I17" s="54">
        <v>46155</v>
      </c>
      <c r="J17" s="65">
        <v>46185</v>
      </c>
      <c r="K17" s="54">
        <v>46185</v>
      </c>
      <c r="L17" s="56">
        <v>30</v>
      </c>
      <c r="M17" s="53">
        <v>46189</v>
      </c>
      <c r="N17" s="57">
        <v>46189</v>
      </c>
      <c r="O17" s="66">
        <v>46190</v>
      </c>
      <c r="P17" s="54">
        <v>46190</v>
      </c>
      <c r="Q17" s="53">
        <v>46190</v>
      </c>
      <c r="R17" s="54">
        <v>46190</v>
      </c>
      <c r="S17" s="53">
        <v>46191</v>
      </c>
      <c r="T17" s="57">
        <v>46191</v>
      </c>
      <c r="U17" s="53">
        <v>46191</v>
      </c>
      <c r="V17" s="57">
        <v>46191</v>
      </c>
      <c r="W17" s="53">
        <v>46191</v>
      </c>
      <c r="X17" s="57">
        <v>46191</v>
      </c>
      <c r="Y17" s="66">
        <v>46193</v>
      </c>
      <c r="Z17" s="57">
        <v>46193</v>
      </c>
      <c r="AA17" s="66">
        <v>46204</v>
      </c>
      <c r="AB17" s="57">
        <v>46204</v>
      </c>
      <c r="AC17" s="53">
        <v>46205</v>
      </c>
      <c r="AD17" s="54">
        <v>46205</v>
      </c>
      <c r="AE17" s="53">
        <v>46205</v>
      </c>
      <c r="AF17" s="54">
        <v>46205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69</v>
      </c>
      <c r="E18" s="50" t="s">
        <v>42</v>
      </c>
      <c r="F18" s="59" t="s">
        <v>28</v>
      </c>
      <c r="G18" s="52">
        <v>46185</v>
      </c>
      <c r="H18" s="55">
        <v>46156</v>
      </c>
      <c r="I18" s="54">
        <v>46156</v>
      </c>
      <c r="J18" s="65">
        <v>46186</v>
      </c>
      <c r="K18" s="54">
        <v>46186</v>
      </c>
      <c r="L18" s="56">
        <v>30</v>
      </c>
      <c r="M18" s="53">
        <v>46189</v>
      </c>
      <c r="N18" s="57">
        <v>46189</v>
      </c>
      <c r="O18" s="69">
        <v>46190</v>
      </c>
      <c r="P18" s="54">
        <v>46190</v>
      </c>
      <c r="Q18" s="69">
        <v>46191</v>
      </c>
      <c r="R18" s="54">
        <v>46191</v>
      </c>
      <c r="S18" s="69">
        <v>46192</v>
      </c>
      <c r="T18" s="57">
        <v>46192</v>
      </c>
      <c r="U18" s="53">
        <v>46192</v>
      </c>
      <c r="V18" s="57">
        <v>46192</v>
      </c>
      <c r="W18" s="53">
        <v>46192</v>
      </c>
      <c r="X18" s="57">
        <v>46192</v>
      </c>
      <c r="Y18" s="66">
        <v>46200</v>
      </c>
      <c r="Z18" s="57">
        <v>46200</v>
      </c>
      <c r="AA18" s="66">
        <v>46211</v>
      </c>
      <c r="AB18" s="57">
        <v>46211</v>
      </c>
      <c r="AC18" s="53">
        <v>46212</v>
      </c>
      <c r="AD18" s="54">
        <v>46212</v>
      </c>
      <c r="AE18" s="53">
        <v>46212</v>
      </c>
      <c r="AF18" s="54">
        <v>46212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70</v>
      </c>
      <c r="E19" s="50" t="s">
        <v>43</v>
      </c>
      <c r="F19" s="59" t="s">
        <v>28</v>
      </c>
      <c r="G19" s="52">
        <v>46185</v>
      </c>
      <c r="H19" s="55">
        <v>46157</v>
      </c>
      <c r="I19" s="54">
        <v>46157</v>
      </c>
      <c r="J19" s="65">
        <v>46189</v>
      </c>
      <c r="K19" s="54">
        <v>46189</v>
      </c>
      <c r="L19" s="56">
        <v>32</v>
      </c>
      <c r="M19" s="53">
        <v>46190</v>
      </c>
      <c r="N19" s="57">
        <v>46190</v>
      </c>
      <c r="O19" s="66">
        <v>46191</v>
      </c>
      <c r="P19" s="54">
        <v>46191</v>
      </c>
      <c r="Q19" s="53">
        <v>46191</v>
      </c>
      <c r="R19" s="54">
        <v>46191</v>
      </c>
      <c r="S19" s="53">
        <v>46192</v>
      </c>
      <c r="T19" s="57">
        <v>46192</v>
      </c>
      <c r="U19" s="53">
        <v>46192</v>
      </c>
      <c r="V19" s="57">
        <v>46192</v>
      </c>
      <c r="W19" s="53">
        <v>46192</v>
      </c>
      <c r="X19" s="57">
        <v>46192</v>
      </c>
      <c r="Y19" s="66">
        <v>46195</v>
      </c>
      <c r="Z19" s="57">
        <v>46195</v>
      </c>
      <c r="AA19" s="66">
        <v>46205</v>
      </c>
      <c r="AB19" s="57">
        <v>46205</v>
      </c>
      <c r="AC19" s="53">
        <v>46206</v>
      </c>
      <c r="AD19" s="54">
        <v>46206</v>
      </c>
      <c r="AE19" s="53">
        <v>46206</v>
      </c>
      <c r="AF19" s="54">
        <v>46206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v>46189</v>
      </c>
      <c r="H20" s="55">
        <v>46161</v>
      </c>
      <c r="I20" s="54">
        <v>46161</v>
      </c>
      <c r="J20" s="65">
        <v>46190</v>
      </c>
      <c r="K20" s="54">
        <v>46190</v>
      </c>
      <c r="L20" s="56">
        <v>29</v>
      </c>
      <c r="M20" s="53">
        <v>46191</v>
      </c>
      <c r="N20" s="57">
        <v>46191</v>
      </c>
      <c r="O20" s="66">
        <v>46192</v>
      </c>
      <c r="P20" s="54">
        <v>46192</v>
      </c>
      <c r="Q20" s="53">
        <v>46195</v>
      </c>
      <c r="R20" s="54">
        <v>46195</v>
      </c>
      <c r="S20" s="53">
        <v>46196</v>
      </c>
      <c r="T20" s="57">
        <v>46196</v>
      </c>
      <c r="U20" s="53">
        <v>46196</v>
      </c>
      <c r="V20" s="57">
        <v>46196</v>
      </c>
      <c r="W20" s="53">
        <v>46196</v>
      </c>
      <c r="X20" s="57">
        <v>46196</v>
      </c>
      <c r="Y20" s="66">
        <v>46203</v>
      </c>
      <c r="Z20" s="57">
        <v>46203</v>
      </c>
      <c r="AA20" s="66">
        <v>46212</v>
      </c>
      <c r="AB20" s="57">
        <v>46212</v>
      </c>
      <c r="AC20" s="53">
        <v>46213</v>
      </c>
      <c r="AD20" s="54">
        <v>46213</v>
      </c>
      <c r="AE20" s="53">
        <v>46213</v>
      </c>
      <c r="AF20" s="54">
        <v>46213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70</v>
      </c>
      <c r="E21" s="50" t="s">
        <v>44</v>
      </c>
      <c r="F21" s="59" t="s">
        <v>28</v>
      </c>
      <c r="G21" s="52">
        <v>46189</v>
      </c>
      <c r="H21" s="55">
        <v>46158</v>
      </c>
      <c r="I21" s="54">
        <v>46158</v>
      </c>
      <c r="J21" s="65">
        <v>46190</v>
      </c>
      <c r="K21" s="54">
        <v>46190</v>
      </c>
      <c r="L21" s="56">
        <v>32</v>
      </c>
      <c r="M21" s="53">
        <v>46191</v>
      </c>
      <c r="N21" s="57">
        <v>46191</v>
      </c>
      <c r="O21" s="66">
        <v>46192</v>
      </c>
      <c r="P21" s="54">
        <v>46192</v>
      </c>
      <c r="Q21" s="53">
        <v>46192</v>
      </c>
      <c r="R21" s="54">
        <v>46192</v>
      </c>
      <c r="S21" s="53">
        <v>46195</v>
      </c>
      <c r="T21" s="57">
        <v>46195</v>
      </c>
      <c r="U21" s="53">
        <v>46195</v>
      </c>
      <c r="V21" s="57">
        <v>46195</v>
      </c>
      <c r="W21" s="53">
        <v>46195</v>
      </c>
      <c r="X21" s="57">
        <v>46195</v>
      </c>
      <c r="Y21" s="66">
        <v>46196</v>
      </c>
      <c r="Z21" s="57">
        <v>46196</v>
      </c>
      <c r="AA21" s="66">
        <v>46209</v>
      </c>
      <c r="AB21" s="57">
        <v>46209</v>
      </c>
      <c r="AC21" s="53">
        <v>46210</v>
      </c>
      <c r="AD21" s="54">
        <v>46210</v>
      </c>
      <c r="AE21" s="53">
        <v>46210</v>
      </c>
      <c r="AF21" s="54">
        <v>46210</v>
      </c>
    </row>
    <row r="22" spans="2:32" s="1" customFormat="1" ht="15.95" customHeight="1" x14ac:dyDescent="0.2">
      <c r="B22" s="15">
        <v>66</v>
      </c>
      <c r="C22" s="15">
        <v>12</v>
      </c>
      <c r="D22" s="49" t="s">
        <v>82</v>
      </c>
      <c r="E22" s="16" t="s">
        <v>45</v>
      </c>
      <c r="F22" s="25" t="s">
        <v>31</v>
      </c>
      <c r="G22" s="52">
        <v>46190</v>
      </c>
      <c r="H22" s="21">
        <v>46130</v>
      </c>
      <c r="I22" s="54">
        <v>46130</v>
      </c>
      <c r="J22" s="65">
        <v>46191</v>
      </c>
      <c r="K22" s="54">
        <v>46191</v>
      </c>
      <c r="L22" s="22">
        <v>61</v>
      </c>
      <c r="M22" s="19">
        <v>46192</v>
      </c>
      <c r="N22" s="23">
        <v>46192</v>
      </c>
      <c r="O22" s="66">
        <v>46193</v>
      </c>
      <c r="P22" s="54">
        <v>46193</v>
      </c>
      <c r="Q22" s="19">
        <v>46193</v>
      </c>
      <c r="R22" s="20">
        <v>46193</v>
      </c>
      <c r="S22" s="19">
        <v>46195</v>
      </c>
      <c r="T22" s="23">
        <v>46195</v>
      </c>
      <c r="U22" s="19">
        <v>46195</v>
      </c>
      <c r="V22" s="23">
        <v>46195</v>
      </c>
      <c r="W22" s="19">
        <v>46195</v>
      </c>
      <c r="X22" s="23">
        <v>46195</v>
      </c>
      <c r="Y22" s="53">
        <v>46197</v>
      </c>
      <c r="Z22" s="57">
        <v>46197</v>
      </c>
      <c r="AA22" s="66">
        <v>46233</v>
      </c>
      <c r="AB22" s="23">
        <v>46233</v>
      </c>
      <c r="AC22" s="19">
        <v>46234</v>
      </c>
      <c r="AD22" s="20">
        <v>46234</v>
      </c>
      <c r="AE22" s="19">
        <v>46234</v>
      </c>
      <c r="AF22" s="20">
        <v>46234</v>
      </c>
    </row>
    <row r="23" spans="2:32" s="1" customFormat="1" ht="15.95" customHeight="1" x14ac:dyDescent="0.2">
      <c r="B23" s="15">
        <v>67</v>
      </c>
      <c r="C23" s="15">
        <v>12</v>
      </c>
      <c r="D23" s="49" t="s">
        <v>69</v>
      </c>
      <c r="E23" s="16" t="s">
        <v>43</v>
      </c>
      <c r="F23" s="25" t="s">
        <v>31</v>
      </c>
      <c r="G23" s="18">
        <v>46191</v>
      </c>
      <c r="H23" s="21">
        <v>46135</v>
      </c>
      <c r="I23" s="54">
        <v>46135</v>
      </c>
      <c r="J23" s="65">
        <v>46192</v>
      </c>
      <c r="K23" s="54">
        <v>46192</v>
      </c>
      <c r="L23" s="22">
        <v>57</v>
      </c>
      <c r="M23" s="19">
        <v>46195</v>
      </c>
      <c r="N23" s="23">
        <v>46195</v>
      </c>
      <c r="O23" s="66">
        <v>46196</v>
      </c>
      <c r="P23" s="54">
        <v>46196</v>
      </c>
      <c r="Q23" s="19">
        <v>46196</v>
      </c>
      <c r="R23" s="20">
        <v>46196</v>
      </c>
      <c r="S23" s="19">
        <v>46197</v>
      </c>
      <c r="T23" s="23">
        <v>46197</v>
      </c>
      <c r="U23" s="19">
        <v>46197</v>
      </c>
      <c r="V23" s="23">
        <v>46197</v>
      </c>
      <c r="W23" s="19">
        <v>46197</v>
      </c>
      <c r="X23" s="23">
        <v>46197</v>
      </c>
      <c r="Y23" s="53">
        <v>46199</v>
      </c>
      <c r="Z23" s="57">
        <v>46199</v>
      </c>
      <c r="AA23" s="66">
        <v>46233</v>
      </c>
      <c r="AB23" s="23">
        <v>46233</v>
      </c>
      <c r="AC23" s="19">
        <v>46234</v>
      </c>
      <c r="AD23" s="20">
        <v>46234</v>
      </c>
      <c r="AE23" s="19">
        <v>46234</v>
      </c>
      <c r="AF23" s="20">
        <v>46234</v>
      </c>
    </row>
    <row r="24" spans="2:32" s="48" customFormat="1" ht="15.95" customHeight="1" x14ac:dyDescent="0.2">
      <c r="B24" s="49">
        <v>42</v>
      </c>
      <c r="C24" s="49">
        <v>11</v>
      </c>
      <c r="D24" s="49" t="s">
        <v>69</v>
      </c>
      <c r="E24" s="50" t="s">
        <v>39</v>
      </c>
      <c r="F24" s="59" t="s">
        <v>28</v>
      </c>
      <c r="G24" s="52">
        <v>46191</v>
      </c>
      <c r="H24" s="55">
        <v>46162</v>
      </c>
      <c r="I24" s="54">
        <v>46162</v>
      </c>
      <c r="J24" s="65">
        <v>46193</v>
      </c>
      <c r="K24" s="54">
        <v>46193</v>
      </c>
      <c r="L24" s="56">
        <v>31</v>
      </c>
      <c r="M24" s="53">
        <v>46195</v>
      </c>
      <c r="N24" s="57">
        <v>46195</v>
      </c>
      <c r="O24" s="66">
        <v>46196</v>
      </c>
      <c r="P24" s="54">
        <v>46196</v>
      </c>
      <c r="Q24" s="53">
        <v>46197</v>
      </c>
      <c r="R24" s="54">
        <v>46197</v>
      </c>
      <c r="S24" s="53">
        <v>46198</v>
      </c>
      <c r="T24" s="57">
        <v>46198</v>
      </c>
      <c r="U24" s="53">
        <v>46198</v>
      </c>
      <c r="V24" s="57">
        <v>46198</v>
      </c>
      <c r="W24" s="53">
        <v>46198</v>
      </c>
      <c r="X24" s="57">
        <v>46198</v>
      </c>
      <c r="Y24" s="66">
        <v>46204</v>
      </c>
      <c r="Z24" s="57">
        <v>46204</v>
      </c>
      <c r="AA24" s="66">
        <v>46213</v>
      </c>
      <c r="AB24" s="57">
        <v>46213</v>
      </c>
      <c r="AC24" s="70">
        <v>46217</v>
      </c>
      <c r="AD24" s="54">
        <v>46217</v>
      </c>
      <c r="AE24" s="70">
        <v>46217</v>
      </c>
      <c r="AF24" s="54">
        <v>46217</v>
      </c>
    </row>
    <row r="25" spans="2:32" s="48" customFormat="1" ht="15.95" customHeight="1" x14ac:dyDescent="0.2">
      <c r="B25" s="49">
        <v>47</v>
      </c>
      <c r="C25" s="49">
        <v>11</v>
      </c>
      <c r="D25" s="49" t="s">
        <v>70</v>
      </c>
      <c r="E25" s="50" t="s">
        <v>39</v>
      </c>
      <c r="F25" s="59" t="s">
        <v>28</v>
      </c>
      <c r="G25" s="52">
        <v>46192</v>
      </c>
      <c r="H25" s="55">
        <v>46163</v>
      </c>
      <c r="I25" s="54">
        <v>46163</v>
      </c>
      <c r="J25" s="65">
        <v>46193</v>
      </c>
      <c r="K25" s="54">
        <v>46193</v>
      </c>
      <c r="L25" s="56">
        <v>30</v>
      </c>
      <c r="M25" s="53">
        <v>46195</v>
      </c>
      <c r="N25" s="57">
        <v>46195</v>
      </c>
      <c r="O25" s="66">
        <v>46196</v>
      </c>
      <c r="P25" s="54">
        <v>46196</v>
      </c>
      <c r="Q25" s="53">
        <v>46197</v>
      </c>
      <c r="R25" s="54">
        <v>46197</v>
      </c>
      <c r="S25" s="53">
        <v>46198</v>
      </c>
      <c r="T25" s="57">
        <v>46198</v>
      </c>
      <c r="U25" s="53">
        <v>46198</v>
      </c>
      <c r="V25" s="57">
        <v>46198</v>
      </c>
      <c r="W25" s="53">
        <v>46198</v>
      </c>
      <c r="X25" s="57">
        <v>46198</v>
      </c>
      <c r="Y25" s="66">
        <v>46204</v>
      </c>
      <c r="Z25" s="57">
        <v>46204</v>
      </c>
      <c r="AA25" s="70">
        <v>46217</v>
      </c>
      <c r="AB25" s="57">
        <v>46217</v>
      </c>
      <c r="AC25" s="53">
        <v>46218</v>
      </c>
      <c r="AD25" s="54">
        <v>46218</v>
      </c>
      <c r="AE25" s="53">
        <v>46218</v>
      </c>
      <c r="AF25" s="54">
        <v>46218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82</v>
      </c>
      <c r="E26" s="50" t="s">
        <v>39</v>
      </c>
      <c r="F26" s="59" t="s">
        <v>28</v>
      </c>
      <c r="G26" s="52">
        <v>46192</v>
      </c>
      <c r="H26" s="55">
        <v>46164</v>
      </c>
      <c r="I26" s="54">
        <v>46164</v>
      </c>
      <c r="J26" s="65">
        <v>46195</v>
      </c>
      <c r="K26" s="54">
        <v>46195</v>
      </c>
      <c r="L26" s="56">
        <v>31</v>
      </c>
      <c r="M26" s="53">
        <v>46196</v>
      </c>
      <c r="N26" s="57">
        <v>46196</v>
      </c>
      <c r="O26" s="66">
        <v>46197</v>
      </c>
      <c r="P26" s="54">
        <v>46197</v>
      </c>
      <c r="Q26" s="53">
        <v>46198</v>
      </c>
      <c r="R26" s="54">
        <v>46198</v>
      </c>
      <c r="S26" s="53">
        <v>46199</v>
      </c>
      <c r="T26" s="57">
        <v>46199</v>
      </c>
      <c r="U26" s="53">
        <v>46199</v>
      </c>
      <c r="V26" s="57">
        <v>46199</v>
      </c>
      <c r="W26" s="53">
        <v>46199</v>
      </c>
      <c r="X26" s="57">
        <v>46199</v>
      </c>
      <c r="Y26" s="66">
        <v>46205</v>
      </c>
      <c r="Z26" s="57">
        <v>46205</v>
      </c>
      <c r="AA26" s="66">
        <v>46218</v>
      </c>
      <c r="AB26" s="57">
        <v>46218</v>
      </c>
      <c r="AC26" s="53">
        <v>46219</v>
      </c>
      <c r="AD26" s="54">
        <v>46219</v>
      </c>
      <c r="AE26" s="53">
        <v>46219</v>
      </c>
      <c r="AF26" s="54">
        <v>46219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70</v>
      </c>
      <c r="E27" s="50" t="s">
        <v>39</v>
      </c>
      <c r="F27" s="59" t="s">
        <v>28</v>
      </c>
      <c r="G27" s="52">
        <v>46192</v>
      </c>
      <c r="H27" s="55">
        <v>46165</v>
      </c>
      <c r="I27" s="54">
        <v>46165</v>
      </c>
      <c r="J27" s="65">
        <v>46196</v>
      </c>
      <c r="K27" s="54">
        <v>46196</v>
      </c>
      <c r="L27" s="56">
        <v>31</v>
      </c>
      <c r="M27" s="53">
        <v>46197</v>
      </c>
      <c r="N27" s="57">
        <v>46197</v>
      </c>
      <c r="O27" s="66">
        <v>46198</v>
      </c>
      <c r="P27" s="54">
        <v>46198</v>
      </c>
      <c r="Q27" s="53">
        <v>46199</v>
      </c>
      <c r="R27" s="54">
        <v>46199</v>
      </c>
      <c r="S27" s="69">
        <v>46203</v>
      </c>
      <c r="T27" s="57">
        <v>46203</v>
      </c>
      <c r="U27" s="53">
        <v>46203</v>
      </c>
      <c r="V27" s="57">
        <v>46203</v>
      </c>
      <c r="W27" s="53">
        <v>46203</v>
      </c>
      <c r="X27" s="57">
        <v>46203</v>
      </c>
      <c r="Y27" s="66">
        <v>46207</v>
      </c>
      <c r="Z27" s="57">
        <v>46207</v>
      </c>
      <c r="AA27" s="66">
        <v>46220</v>
      </c>
      <c r="AB27" s="57">
        <v>46220</v>
      </c>
      <c r="AC27" s="53">
        <v>46224</v>
      </c>
      <c r="AD27" s="54">
        <v>46224</v>
      </c>
      <c r="AE27" s="53">
        <v>46224</v>
      </c>
      <c r="AF27" s="54">
        <v>46224</v>
      </c>
    </row>
    <row r="28" spans="2:32" s="48" customFormat="1" ht="15" customHeight="1" x14ac:dyDescent="0.2">
      <c r="B28" s="49">
        <v>53</v>
      </c>
      <c r="C28" s="49">
        <v>11</v>
      </c>
      <c r="D28" s="49" t="s">
        <v>81</v>
      </c>
      <c r="E28" s="50" t="s">
        <v>39</v>
      </c>
      <c r="F28" s="59" t="s">
        <v>28</v>
      </c>
      <c r="G28" s="52">
        <v>46195</v>
      </c>
      <c r="H28" s="55">
        <v>46167</v>
      </c>
      <c r="I28" s="54">
        <v>46167</v>
      </c>
      <c r="J28" s="65">
        <v>46196</v>
      </c>
      <c r="K28" s="54">
        <v>46196</v>
      </c>
      <c r="L28" s="56">
        <v>29</v>
      </c>
      <c r="M28" s="53">
        <v>46197</v>
      </c>
      <c r="N28" s="57">
        <v>46197</v>
      </c>
      <c r="O28" s="66">
        <v>46198</v>
      </c>
      <c r="P28" s="54">
        <v>46198</v>
      </c>
      <c r="Q28" s="53">
        <v>46199</v>
      </c>
      <c r="R28" s="54">
        <v>46199</v>
      </c>
      <c r="S28" s="69">
        <v>46203</v>
      </c>
      <c r="T28" s="57">
        <v>46203</v>
      </c>
      <c r="U28" s="53">
        <v>46203</v>
      </c>
      <c r="V28" s="57">
        <v>46203</v>
      </c>
      <c r="W28" s="53">
        <v>46203</v>
      </c>
      <c r="X28" s="57">
        <v>46203</v>
      </c>
      <c r="Y28" s="66">
        <v>46210</v>
      </c>
      <c r="Z28" s="57">
        <v>46210</v>
      </c>
      <c r="AA28" s="66">
        <v>46225</v>
      </c>
      <c r="AB28" s="57">
        <v>46225</v>
      </c>
      <c r="AC28" s="53">
        <v>46226</v>
      </c>
      <c r="AD28" s="54">
        <v>46226</v>
      </c>
      <c r="AE28" s="53">
        <v>46226</v>
      </c>
      <c r="AF28" s="54">
        <v>46226</v>
      </c>
    </row>
    <row r="29" spans="2:32" s="1" customFormat="1" ht="15.95" customHeight="1" x14ac:dyDescent="0.2">
      <c r="B29" s="15">
        <v>69</v>
      </c>
      <c r="C29" s="15">
        <v>11</v>
      </c>
      <c r="D29" s="49" t="s">
        <v>81</v>
      </c>
      <c r="E29" s="16" t="s">
        <v>39</v>
      </c>
      <c r="F29" s="25" t="s">
        <v>31</v>
      </c>
      <c r="G29" s="18">
        <v>46196</v>
      </c>
      <c r="H29" s="21">
        <v>46137</v>
      </c>
      <c r="I29" s="54">
        <v>46137</v>
      </c>
      <c r="J29" s="65">
        <v>46197</v>
      </c>
      <c r="K29" s="54">
        <v>46197</v>
      </c>
      <c r="L29" s="22">
        <v>60</v>
      </c>
      <c r="M29" s="19">
        <v>46198</v>
      </c>
      <c r="N29" s="23">
        <v>46198</v>
      </c>
      <c r="O29" s="66">
        <v>46199</v>
      </c>
      <c r="P29" s="54">
        <v>46199</v>
      </c>
      <c r="Q29" s="19">
        <v>46199</v>
      </c>
      <c r="R29" s="20">
        <v>46199</v>
      </c>
      <c r="S29" s="71">
        <v>46203</v>
      </c>
      <c r="T29" s="23">
        <v>46203</v>
      </c>
      <c r="U29" s="19">
        <v>46203</v>
      </c>
      <c r="V29" s="23">
        <v>46203</v>
      </c>
      <c r="W29" s="19">
        <v>46203</v>
      </c>
      <c r="X29" s="23">
        <v>46203</v>
      </c>
      <c r="Y29" s="53">
        <v>46205</v>
      </c>
      <c r="Z29" s="57">
        <v>46205</v>
      </c>
      <c r="AA29" s="66">
        <v>46238</v>
      </c>
      <c r="AB29" s="23">
        <v>46238</v>
      </c>
      <c r="AC29" s="19">
        <v>46239</v>
      </c>
      <c r="AD29" s="20">
        <v>46239</v>
      </c>
      <c r="AE29" s="19">
        <v>46239</v>
      </c>
      <c r="AF29" s="20">
        <v>46239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46177</v>
      </c>
      <c r="H30" s="19">
        <v>46148</v>
      </c>
      <c r="I30" s="20">
        <v>46148</v>
      </c>
      <c r="J30" s="55">
        <v>46178</v>
      </c>
      <c r="K30" s="54">
        <v>46178</v>
      </c>
      <c r="L30" s="56">
        <v>30</v>
      </c>
      <c r="M30" s="19">
        <v>46178</v>
      </c>
      <c r="N30" s="23">
        <v>46178</v>
      </c>
      <c r="O30" s="19">
        <v>46178</v>
      </c>
      <c r="P30" s="23">
        <v>46178</v>
      </c>
      <c r="Q30" s="19">
        <v>46178</v>
      </c>
      <c r="R30" s="20">
        <v>46178</v>
      </c>
      <c r="S30" s="19">
        <v>46178</v>
      </c>
      <c r="T30" s="20">
        <v>46178</v>
      </c>
      <c r="U30" s="19">
        <v>46178</v>
      </c>
      <c r="V30" s="20">
        <v>46178</v>
      </c>
      <c r="W30" s="19">
        <v>46178</v>
      </c>
      <c r="X30" s="20">
        <v>46178</v>
      </c>
      <c r="Y30" s="19">
        <v>46178</v>
      </c>
      <c r="Z30" s="23">
        <v>46178</v>
      </c>
      <c r="AA30" s="19">
        <v>46203</v>
      </c>
      <c r="AB30" s="20">
        <v>46203</v>
      </c>
      <c r="AC30" s="19">
        <v>46204</v>
      </c>
      <c r="AD30" s="20">
        <v>46204</v>
      </c>
      <c r="AE30" s="19">
        <v>46204</v>
      </c>
      <c r="AF30" s="20">
        <v>46204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46177</v>
      </c>
      <c r="H31" s="19">
        <v>46148</v>
      </c>
      <c r="I31" s="20">
        <v>46148</v>
      </c>
      <c r="J31" s="55">
        <v>46178</v>
      </c>
      <c r="K31" s="54">
        <v>46178</v>
      </c>
      <c r="L31" s="56">
        <v>30</v>
      </c>
      <c r="M31" s="19">
        <v>46178</v>
      </c>
      <c r="N31" s="23">
        <v>46178</v>
      </c>
      <c r="O31" s="19">
        <v>46178</v>
      </c>
      <c r="P31" s="23">
        <v>46178</v>
      </c>
      <c r="Q31" s="19">
        <v>46178</v>
      </c>
      <c r="R31" s="20">
        <v>46178</v>
      </c>
      <c r="S31" s="19">
        <v>46178</v>
      </c>
      <c r="T31" s="20">
        <v>46178</v>
      </c>
      <c r="U31" s="19">
        <v>46178</v>
      </c>
      <c r="V31" s="20">
        <v>46178</v>
      </c>
      <c r="W31" s="19">
        <v>46178</v>
      </c>
      <c r="X31" s="20">
        <v>46178</v>
      </c>
      <c r="Y31" s="19">
        <v>46178</v>
      </c>
      <c r="Z31" s="23">
        <v>46178</v>
      </c>
      <c r="AA31" s="19">
        <v>46203</v>
      </c>
      <c r="AB31" s="20">
        <v>46203</v>
      </c>
      <c r="AC31" s="19">
        <v>46204</v>
      </c>
      <c r="AD31" s="20">
        <v>46204</v>
      </c>
      <c r="AE31" s="19">
        <v>46204</v>
      </c>
      <c r="AF31" s="20">
        <v>46204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46177</v>
      </c>
      <c r="H32" s="19">
        <v>46148</v>
      </c>
      <c r="I32" s="20">
        <v>46148</v>
      </c>
      <c r="J32" s="55">
        <v>46178</v>
      </c>
      <c r="K32" s="54">
        <v>46178</v>
      </c>
      <c r="L32" s="56">
        <v>30</v>
      </c>
      <c r="M32" s="19">
        <v>46178</v>
      </c>
      <c r="N32" s="23">
        <v>46178</v>
      </c>
      <c r="O32" s="19">
        <v>46178</v>
      </c>
      <c r="P32" s="23">
        <v>46178</v>
      </c>
      <c r="Q32" s="19">
        <v>46178</v>
      </c>
      <c r="R32" s="20">
        <v>46178</v>
      </c>
      <c r="S32" s="19">
        <v>46178</v>
      </c>
      <c r="T32" s="20">
        <v>46178</v>
      </c>
      <c r="U32" s="19">
        <v>46178</v>
      </c>
      <c r="V32" s="20">
        <v>46178</v>
      </c>
      <c r="W32" s="19">
        <v>46178</v>
      </c>
      <c r="X32" s="20">
        <v>46178</v>
      </c>
      <c r="Y32" s="19">
        <v>46178</v>
      </c>
      <c r="Z32" s="23">
        <v>46178</v>
      </c>
      <c r="AA32" s="19">
        <v>46203</v>
      </c>
      <c r="AB32" s="20">
        <v>46203</v>
      </c>
      <c r="AC32" s="19">
        <v>46204</v>
      </c>
      <c r="AD32" s="20">
        <v>46204</v>
      </c>
      <c r="AE32" s="19">
        <v>46204</v>
      </c>
      <c r="AF32" s="20">
        <v>46204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46182</v>
      </c>
      <c r="H33" s="19">
        <v>46152</v>
      </c>
      <c r="I33" s="20">
        <v>46152</v>
      </c>
      <c r="J33" s="55">
        <v>46183</v>
      </c>
      <c r="K33" s="54">
        <v>46183</v>
      </c>
      <c r="L33" s="22">
        <v>31</v>
      </c>
      <c r="M33" s="19">
        <v>46183</v>
      </c>
      <c r="N33" s="23">
        <v>46183</v>
      </c>
      <c r="O33" s="19">
        <v>46183</v>
      </c>
      <c r="P33" s="23">
        <v>46183</v>
      </c>
      <c r="Q33" s="19">
        <v>46183</v>
      </c>
      <c r="R33" s="20">
        <v>46183</v>
      </c>
      <c r="S33" s="19">
        <v>46183</v>
      </c>
      <c r="T33" s="20">
        <v>46183</v>
      </c>
      <c r="U33" s="19">
        <v>46183</v>
      </c>
      <c r="V33" s="20">
        <v>46183</v>
      </c>
      <c r="W33" s="19">
        <v>46183</v>
      </c>
      <c r="X33" s="20">
        <v>46183</v>
      </c>
      <c r="Y33" s="19">
        <v>46183</v>
      </c>
      <c r="Z33" s="23">
        <v>46183</v>
      </c>
      <c r="AA33" s="19">
        <v>46191</v>
      </c>
      <c r="AB33" s="20">
        <v>46191</v>
      </c>
      <c r="AC33" s="19">
        <v>46192</v>
      </c>
      <c r="AD33" s="20">
        <v>46192</v>
      </c>
      <c r="AE33" s="19">
        <v>46192</v>
      </c>
      <c r="AF33" s="20">
        <v>46192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46182</v>
      </c>
      <c r="H34" s="19">
        <v>46152</v>
      </c>
      <c r="I34" s="20">
        <v>46152</v>
      </c>
      <c r="J34" s="55">
        <v>46183</v>
      </c>
      <c r="K34" s="54">
        <v>46183</v>
      </c>
      <c r="L34" s="22">
        <v>31</v>
      </c>
      <c r="M34" s="19">
        <v>46183</v>
      </c>
      <c r="N34" s="23">
        <v>46183</v>
      </c>
      <c r="O34" s="19">
        <v>46183</v>
      </c>
      <c r="P34" s="23">
        <v>46183</v>
      </c>
      <c r="Q34" s="19">
        <v>46183</v>
      </c>
      <c r="R34" s="20">
        <v>46183</v>
      </c>
      <c r="S34" s="19">
        <v>46183</v>
      </c>
      <c r="T34" s="20">
        <v>46183</v>
      </c>
      <c r="U34" s="19">
        <v>46183</v>
      </c>
      <c r="V34" s="20">
        <v>46183</v>
      </c>
      <c r="W34" s="19">
        <v>46183</v>
      </c>
      <c r="X34" s="20">
        <v>46183</v>
      </c>
      <c r="Y34" s="19">
        <v>46183</v>
      </c>
      <c r="Z34" s="23">
        <v>46183</v>
      </c>
      <c r="AA34" s="19">
        <v>46191</v>
      </c>
      <c r="AB34" s="20">
        <v>46191</v>
      </c>
      <c r="AC34" s="19">
        <v>46192</v>
      </c>
      <c r="AD34" s="20">
        <v>46192</v>
      </c>
      <c r="AE34" s="19">
        <v>46192</v>
      </c>
      <c r="AF34" s="20">
        <v>46192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46184</v>
      </c>
      <c r="H35" s="19">
        <v>46155</v>
      </c>
      <c r="I35" s="20">
        <v>46155</v>
      </c>
      <c r="J35" s="55">
        <v>46185</v>
      </c>
      <c r="K35" s="54">
        <v>46185</v>
      </c>
      <c r="L35" s="22">
        <v>30</v>
      </c>
      <c r="M35" s="19">
        <v>46185</v>
      </c>
      <c r="N35" s="23">
        <v>46185</v>
      </c>
      <c r="O35" s="19">
        <v>46185</v>
      </c>
      <c r="P35" s="23">
        <v>46185</v>
      </c>
      <c r="Q35" s="19">
        <v>46185</v>
      </c>
      <c r="R35" s="20">
        <v>46185</v>
      </c>
      <c r="S35" s="19">
        <v>46185</v>
      </c>
      <c r="T35" s="20">
        <v>46185</v>
      </c>
      <c r="U35" s="19">
        <v>46185</v>
      </c>
      <c r="V35" s="20">
        <v>46185</v>
      </c>
      <c r="W35" s="19">
        <v>46185</v>
      </c>
      <c r="X35" s="20">
        <v>46185</v>
      </c>
      <c r="Y35" s="19">
        <v>46185</v>
      </c>
      <c r="Z35" s="23">
        <v>46185</v>
      </c>
      <c r="AA35" s="19">
        <v>46216</v>
      </c>
      <c r="AB35" s="20">
        <v>46216</v>
      </c>
      <c r="AC35" s="19">
        <v>46217</v>
      </c>
      <c r="AD35" s="20">
        <v>46217</v>
      </c>
      <c r="AE35" s="19">
        <v>46217</v>
      </c>
      <c r="AF35" s="20">
        <v>46217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46184</v>
      </c>
      <c r="H36" s="19">
        <v>46155</v>
      </c>
      <c r="I36" s="20">
        <v>46155</v>
      </c>
      <c r="J36" s="55">
        <v>46185</v>
      </c>
      <c r="K36" s="54">
        <v>46185</v>
      </c>
      <c r="L36" s="22">
        <v>30</v>
      </c>
      <c r="M36" s="19">
        <v>46185</v>
      </c>
      <c r="N36" s="23">
        <v>46185</v>
      </c>
      <c r="O36" s="19">
        <v>46185</v>
      </c>
      <c r="P36" s="23">
        <v>46185</v>
      </c>
      <c r="Q36" s="19">
        <v>46185</v>
      </c>
      <c r="R36" s="20">
        <v>46185</v>
      </c>
      <c r="S36" s="19">
        <v>46185</v>
      </c>
      <c r="T36" s="20">
        <v>46185</v>
      </c>
      <c r="U36" s="19">
        <v>46185</v>
      </c>
      <c r="V36" s="20">
        <v>46185</v>
      </c>
      <c r="W36" s="19">
        <v>46185</v>
      </c>
      <c r="X36" s="20">
        <v>46185</v>
      </c>
      <c r="Y36" s="19">
        <v>46185</v>
      </c>
      <c r="Z36" s="23">
        <v>46185</v>
      </c>
      <c r="AA36" s="19">
        <v>46204</v>
      </c>
      <c r="AB36" s="20">
        <v>46204</v>
      </c>
      <c r="AC36" s="19">
        <v>46205</v>
      </c>
      <c r="AD36" s="20">
        <v>46205</v>
      </c>
      <c r="AE36" s="19">
        <v>46205</v>
      </c>
      <c r="AF36" s="20">
        <v>46205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46185</v>
      </c>
      <c r="H37" s="19">
        <v>46157</v>
      </c>
      <c r="I37" s="20">
        <v>46157</v>
      </c>
      <c r="J37" s="55">
        <v>46189</v>
      </c>
      <c r="K37" s="54">
        <v>46189</v>
      </c>
      <c r="L37" s="22">
        <v>32</v>
      </c>
      <c r="M37" s="19">
        <v>46189</v>
      </c>
      <c r="N37" s="23">
        <v>46189</v>
      </c>
      <c r="O37" s="19">
        <v>46189</v>
      </c>
      <c r="P37" s="23">
        <v>46189</v>
      </c>
      <c r="Q37" s="19">
        <v>46189</v>
      </c>
      <c r="R37" s="20">
        <v>46189</v>
      </c>
      <c r="S37" s="19">
        <v>46189</v>
      </c>
      <c r="T37" s="20">
        <v>46189</v>
      </c>
      <c r="U37" s="19">
        <v>46189</v>
      </c>
      <c r="V37" s="20">
        <v>46189</v>
      </c>
      <c r="W37" s="19">
        <v>46189</v>
      </c>
      <c r="X37" s="20">
        <v>46189</v>
      </c>
      <c r="Y37" s="19">
        <v>46189</v>
      </c>
      <c r="Z37" s="23">
        <v>46189</v>
      </c>
      <c r="AA37" s="19">
        <v>46196</v>
      </c>
      <c r="AB37" s="20">
        <v>46196</v>
      </c>
      <c r="AC37" s="19">
        <v>46197</v>
      </c>
      <c r="AD37" s="20">
        <v>46197</v>
      </c>
      <c r="AE37" s="19">
        <v>46197</v>
      </c>
      <c r="AF37" s="20">
        <v>46197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46185</v>
      </c>
      <c r="H38" s="19">
        <v>46157</v>
      </c>
      <c r="I38" s="20">
        <v>46157</v>
      </c>
      <c r="J38" s="55">
        <v>46189</v>
      </c>
      <c r="K38" s="54">
        <v>46189</v>
      </c>
      <c r="L38" s="22">
        <v>32</v>
      </c>
      <c r="M38" s="19">
        <v>46189</v>
      </c>
      <c r="N38" s="23">
        <v>46189</v>
      </c>
      <c r="O38" s="19">
        <v>46189</v>
      </c>
      <c r="P38" s="23">
        <v>46189</v>
      </c>
      <c r="Q38" s="19">
        <v>46189</v>
      </c>
      <c r="R38" s="20">
        <v>46189</v>
      </c>
      <c r="S38" s="19">
        <v>46189</v>
      </c>
      <c r="T38" s="20">
        <v>46189</v>
      </c>
      <c r="U38" s="19">
        <v>46189</v>
      </c>
      <c r="V38" s="20">
        <v>46189</v>
      </c>
      <c r="W38" s="19">
        <v>46189</v>
      </c>
      <c r="X38" s="20">
        <v>46189</v>
      </c>
      <c r="Y38" s="19">
        <v>46189</v>
      </c>
      <c r="Z38" s="23">
        <v>46189</v>
      </c>
      <c r="AA38" s="19">
        <v>46196</v>
      </c>
      <c r="AB38" s="20">
        <v>46196</v>
      </c>
      <c r="AC38" s="19">
        <v>46197</v>
      </c>
      <c r="AD38" s="20">
        <v>46197</v>
      </c>
      <c r="AE38" s="19">
        <v>46197</v>
      </c>
      <c r="AF38" s="20">
        <v>46197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46184</v>
      </c>
      <c r="H39" s="19">
        <v>46156</v>
      </c>
      <c r="I39" s="20">
        <v>46156</v>
      </c>
      <c r="J39" s="55">
        <v>46185</v>
      </c>
      <c r="K39" s="54">
        <v>46185</v>
      </c>
      <c r="L39" s="22">
        <v>29</v>
      </c>
      <c r="M39" s="19">
        <v>46185</v>
      </c>
      <c r="N39" s="23">
        <v>46185</v>
      </c>
      <c r="O39" s="19">
        <v>46185</v>
      </c>
      <c r="P39" s="23">
        <v>46185</v>
      </c>
      <c r="Q39" s="19">
        <v>46185</v>
      </c>
      <c r="R39" s="20">
        <v>46185</v>
      </c>
      <c r="S39" s="19">
        <v>46185</v>
      </c>
      <c r="T39" s="20">
        <v>46185</v>
      </c>
      <c r="U39" s="19">
        <v>46185</v>
      </c>
      <c r="V39" s="20">
        <v>46185</v>
      </c>
      <c r="W39" s="19">
        <v>46185</v>
      </c>
      <c r="X39" s="20">
        <v>46185</v>
      </c>
      <c r="Y39" s="19">
        <v>46185</v>
      </c>
      <c r="Z39" s="23">
        <v>46185</v>
      </c>
      <c r="AA39" s="19">
        <v>46213</v>
      </c>
      <c r="AB39" s="20">
        <v>46213</v>
      </c>
      <c r="AC39" s="19">
        <v>46217</v>
      </c>
      <c r="AD39" s="20">
        <v>46217</v>
      </c>
      <c r="AE39" s="19">
        <v>46217</v>
      </c>
      <c r="AF39" s="20">
        <v>46217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46185</v>
      </c>
      <c r="H40" s="19">
        <v>46157</v>
      </c>
      <c r="I40" s="20">
        <v>46157</v>
      </c>
      <c r="J40" s="55">
        <v>46189</v>
      </c>
      <c r="K40" s="54">
        <v>46189</v>
      </c>
      <c r="L40" s="22">
        <v>32</v>
      </c>
      <c r="M40" s="19">
        <v>46189</v>
      </c>
      <c r="N40" s="23">
        <v>46189</v>
      </c>
      <c r="O40" s="19">
        <v>46189</v>
      </c>
      <c r="P40" s="23">
        <v>46189</v>
      </c>
      <c r="Q40" s="19">
        <v>46189</v>
      </c>
      <c r="R40" s="20">
        <v>46189</v>
      </c>
      <c r="S40" s="19">
        <v>46189</v>
      </c>
      <c r="T40" s="20">
        <v>46189</v>
      </c>
      <c r="U40" s="19">
        <v>46189</v>
      </c>
      <c r="V40" s="20">
        <v>46189</v>
      </c>
      <c r="W40" s="19">
        <v>46189</v>
      </c>
      <c r="X40" s="20">
        <v>46189</v>
      </c>
      <c r="Y40" s="19">
        <v>46189</v>
      </c>
      <c r="Z40" s="23">
        <v>46189</v>
      </c>
      <c r="AA40" s="19">
        <v>46213</v>
      </c>
      <c r="AB40" s="20">
        <v>46213</v>
      </c>
      <c r="AC40" s="19">
        <v>46217</v>
      </c>
      <c r="AD40" s="20">
        <v>46217</v>
      </c>
      <c r="AE40" s="19">
        <v>46217</v>
      </c>
      <c r="AF40" s="20">
        <v>46217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70</v>
      </c>
      <c r="E41" s="32" t="s">
        <v>63</v>
      </c>
      <c r="F41" s="25" t="s">
        <v>28</v>
      </c>
      <c r="G41" s="18">
        <v>46191</v>
      </c>
      <c r="H41" s="19">
        <v>46162</v>
      </c>
      <c r="I41" s="20">
        <v>46162</v>
      </c>
      <c r="J41" s="65">
        <v>46192</v>
      </c>
      <c r="K41" s="54">
        <v>46192</v>
      </c>
      <c r="L41" s="22">
        <v>30</v>
      </c>
      <c r="M41" s="19">
        <v>46192</v>
      </c>
      <c r="N41" s="23">
        <v>46192</v>
      </c>
      <c r="O41" s="19">
        <v>46192</v>
      </c>
      <c r="P41" s="23">
        <v>46192</v>
      </c>
      <c r="Q41" s="19">
        <v>46192</v>
      </c>
      <c r="R41" s="20">
        <v>46192</v>
      </c>
      <c r="S41" s="19">
        <v>46192</v>
      </c>
      <c r="T41" s="20">
        <v>46192</v>
      </c>
      <c r="U41" s="19">
        <v>46192</v>
      </c>
      <c r="V41" s="20">
        <v>46192</v>
      </c>
      <c r="W41" s="19">
        <v>46192</v>
      </c>
      <c r="X41" s="20">
        <v>46192</v>
      </c>
      <c r="Y41" s="19">
        <v>46192</v>
      </c>
      <c r="Z41" s="23">
        <v>46192</v>
      </c>
      <c r="AA41" s="19">
        <v>46219</v>
      </c>
      <c r="AB41" s="20">
        <v>46219</v>
      </c>
      <c r="AC41" s="19">
        <v>46220</v>
      </c>
      <c r="AD41" s="20">
        <v>46220</v>
      </c>
      <c r="AE41" s="19">
        <v>46220</v>
      </c>
      <c r="AF41" s="20">
        <v>46220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46197</v>
      </c>
      <c r="H42" s="19">
        <v>46167</v>
      </c>
      <c r="I42" s="20">
        <v>46167</v>
      </c>
      <c r="J42" s="55">
        <v>46198</v>
      </c>
      <c r="K42" s="54">
        <v>46198</v>
      </c>
      <c r="L42" s="22">
        <v>31</v>
      </c>
      <c r="M42" s="19">
        <v>46198</v>
      </c>
      <c r="N42" s="23">
        <v>46198</v>
      </c>
      <c r="O42" s="19">
        <v>46198</v>
      </c>
      <c r="P42" s="23">
        <v>46198</v>
      </c>
      <c r="Q42" s="19">
        <v>46198</v>
      </c>
      <c r="R42" s="20">
        <v>46198</v>
      </c>
      <c r="S42" s="19">
        <v>46198</v>
      </c>
      <c r="T42" s="20">
        <v>46198</v>
      </c>
      <c r="U42" s="19">
        <v>46198</v>
      </c>
      <c r="V42" s="20">
        <v>46198</v>
      </c>
      <c r="W42" s="19">
        <v>46198</v>
      </c>
      <c r="X42" s="20">
        <v>46198</v>
      </c>
      <c r="Y42" s="19">
        <v>46198</v>
      </c>
      <c r="Z42" s="23">
        <v>46198</v>
      </c>
      <c r="AA42" s="19">
        <v>46220</v>
      </c>
      <c r="AB42" s="20">
        <v>46220</v>
      </c>
      <c r="AC42" s="19">
        <v>46224</v>
      </c>
      <c r="AD42" s="20">
        <v>46224</v>
      </c>
      <c r="AE42" s="19">
        <v>46224</v>
      </c>
      <c r="AF42" s="20">
        <v>46224</v>
      </c>
    </row>
    <row r="43" spans="2:32" s="1" customFormat="1" ht="15.95" customHeight="1" x14ac:dyDescent="0.25">
      <c r="B43" s="29">
        <v>79</v>
      </c>
      <c r="C43" s="31">
        <v>12</v>
      </c>
      <c r="D43" s="31" t="s">
        <v>47</v>
      </c>
      <c r="E43" s="32" t="s">
        <v>64</v>
      </c>
      <c r="F43" s="25" t="s">
        <v>28</v>
      </c>
      <c r="G43" s="18">
        <v>46197</v>
      </c>
      <c r="H43" s="19">
        <v>46167</v>
      </c>
      <c r="I43" s="20">
        <v>46167</v>
      </c>
      <c r="J43" s="55">
        <v>46198</v>
      </c>
      <c r="K43" s="54">
        <v>46198</v>
      </c>
      <c r="L43" s="22">
        <v>31</v>
      </c>
      <c r="M43" s="19">
        <v>46198</v>
      </c>
      <c r="N43" s="23">
        <v>46198</v>
      </c>
      <c r="O43" s="19">
        <v>46198</v>
      </c>
      <c r="P43" s="23">
        <v>46198</v>
      </c>
      <c r="Q43" s="19">
        <v>46198</v>
      </c>
      <c r="R43" s="20">
        <v>46198</v>
      </c>
      <c r="S43" s="19">
        <v>46198</v>
      </c>
      <c r="T43" s="20">
        <v>46198</v>
      </c>
      <c r="U43" s="19">
        <v>46198</v>
      </c>
      <c r="V43" s="20">
        <v>46198</v>
      </c>
      <c r="W43" s="19">
        <v>46198</v>
      </c>
      <c r="X43" s="20">
        <v>46198</v>
      </c>
      <c r="Y43" s="19">
        <v>46198</v>
      </c>
      <c r="Z43" s="23">
        <v>46198</v>
      </c>
      <c r="AA43" s="19">
        <v>46220</v>
      </c>
      <c r="AB43" s="20">
        <v>46220</v>
      </c>
      <c r="AC43" s="19">
        <v>46224</v>
      </c>
      <c r="AD43" s="20">
        <v>46224</v>
      </c>
      <c r="AE43" s="19">
        <v>46224</v>
      </c>
      <c r="AF43" s="20">
        <v>46224</v>
      </c>
    </row>
    <row r="44" spans="2:32" s="1" customFormat="1" ht="15.95" customHeight="1" x14ac:dyDescent="0.25">
      <c r="B44" s="29">
        <v>79</v>
      </c>
      <c r="C44" s="31">
        <v>13</v>
      </c>
      <c r="D44" s="31" t="s">
        <v>47</v>
      </c>
      <c r="E44" s="32" t="s">
        <v>64</v>
      </c>
      <c r="F44" s="25" t="s">
        <v>28</v>
      </c>
      <c r="G44" s="18">
        <v>46197</v>
      </c>
      <c r="H44" s="19">
        <v>46167</v>
      </c>
      <c r="I44" s="20">
        <v>46167</v>
      </c>
      <c r="J44" s="55">
        <v>46198</v>
      </c>
      <c r="K44" s="54">
        <v>46198</v>
      </c>
      <c r="L44" s="22">
        <v>31</v>
      </c>
      <c r="M44" s="19">
        <v>46198</v>
      </c>
      <c r="N44" s="23">
        <v>46198</v>
      </c>
      <c r="O44" s="19">
        <v>46198</v>
      </c>
      <c r="P44" s="23">
        <v>46198</v>
      </c>
      <c r="Q44" s="19">
        <v>46198</v>
      </c>
      <c r="R44" s="20">
        <v>46198</v>
      </c>
      <c r="S44" s="19">
        <v>46198</v>
      </c>
      <c r="T44" s="20">
        <v>46198</v>
      </c>
      <c r="U44" s="19">
        <v>46198</v>
      </c>
      <c r="V44" s="20">
        <v>46198</v>
      </c>
      <c r="W44" s="19">
        <v>46198</v>
      </c>
      <c r="X44" s="20">
        <v>46198</v>
      </c>
      <c r="Y44" s="19">
        <v>46198</v>
      </c>
      <c r="Z44" s="23">
        <v>46198</v>
      </c>
      <c r="AA44" s="19">
        <v>46220</v>
      </c>
      <c r="AB44" s="20">
        <v>46220</v>
      </c>
      <c r="AC44" s="19">
        <v>46224</v>
      </c>
      <c r="AD44" s="20">
        <v>46224</v>
      </c>
      <c r="AE44" s="19">
        <v>46224</v>
      </c>
      <c r="AF44" s="20">
        <v>46224</v>
      </c>
    </row>
    <row r="45" spans="2:32" s="1" customFormat="1" ht="15.95" customHeight="1" x14ac:dyDescent="0.25">
      <c r="B45" s="29">
        <v>95</v>
      </c>
      <c r="C45" s="30" t="s">
        <v>46</v>
      </c>
      <c r="D45" s="31" t="s">
        <v>47</v>
      </c>
      <c r="E45" s="32" t="s">
        <v>65</v>
      </c>
      <c r="F45" s="25" t="s">
        <v>28</v>
      </c>
      <c r="G45" s="18">
        <v>46198</v>
      </c>
      <c r="H45" s="19">
        <v>46170</v>
      </c>
      <c r="I45" s="20">
        <v>46170</v>
      </c>
      <c r="J45" s="55">
        <v>46199</v>
      </c>
      <c r="K45" s="54">
        <v>46199</v>
      </c>
      <c r="L45" s="22">
        <v>29</v>
      </c>
      <c r="M45" s="19">
        <v>46199</v>
      </c>
      <c r="N45" s="23">
        <v>46199</v>
      </c>
      <c r="O45" s="19">
        <v>46199</v>
      </c>
      <c r="P45" s="23">
        <v>46199</v>
      </c>
      <c r="Q45" s="19">
        <v>46199</v>
      </c>
      <c r="R45" s="20">
        <v>46199</v>
      </c>
      <c r="S45" s="19">
        <v>46199</v>
      </c>
      <c r="T45" s="20">
        <v>46199</v>
      </c>
      <c r="U45" s="19">
        <v>46199</v>
      </c>
      <c r="V45" s="20">
        <v>46199</v>
      </c>
      <c r="W45" s="19">
        <v>46199</v>
      </c>
      <c r="X45" s="20">
        <v>46199</v>
      </c>
      <c r="Y45" s="19">
        <v>46199</v>
      </c>
      <c r="Z45" s="23">
        <v>46199</v>
      </c>
      <c r="AA45" s="19">
        <v>46219</v>
      </c>
      <c r="AB45" s="20">
        <v>46219</v>
      </c>
      <c r="AC45" s="19">
        <v>46220</v>
      </c>
      <c r="AD45" s="20">
        <v>46220</v>
      </c>
      <c r="AE45" s="19">
        <v>46220</v>
      </c>
      <c r="AF45" s="20">
        <v>46220</v>
      </c>
    </row>
    <row r="46" spans="2:32" s="1" customFormat="1" ht="15.95" customHeight="1" x14ac:dyDescent="0.25">
      <c r="B46" s="29">
        <v>95</v>
      </c>
      <c r="C46" s="30" t="s">
        <v>49</v>
      </c>
      <c r="D46" s="31" t="s">
        <v>47</v>
      </c>
      <c r="E46" s="32" t="s">
        <v>65</v>
      </c>
      <c r="F46" s="25" t="s">
        <v>28</v>
      </c>
      <c r="G46" s="18">
        <v>46198</v>
      </c>
      <c r="H46" s="19">
        <v>46170</v>
      </c>
      <c r="I46" s="20">
        <v>46170</v>
      </c>
      <c r="J46" s="55">
        <v>46199</v>
      </c>
      <c r="K46" s="54">
        <v>46199</v>
      </c>
      <c r="L46" s="22">
        <v>29</v>
      </c>
      <c r="M46" s="19">
        <v>46199</v>
      </c>
      <c r="N46" s="23">
        <v>46199</v>
      </c>
      <c r="O46" s="19">
        <v>46199</v>
      </c>
      <c r="P46" s="23">
        <v>46199</v>
      </c>
      <c r="Q46" s="19">
        <v>46199</v>
      </c>
      <c r="R46" s="20">
        <v>46199</v>
      </c>
      <c r="S46" s="19">
        <v>46199</v>
      </c>
      <c r="T46" s="20">
        <v>46199</v>
      </c>
      <c r="U46" s="19">
        <v>46199</v>
      </c>
      <c r="V46" s="20">
        <v>46199</v>
      </c>
      <c r="W46" s="19">
        <v>46199</v>
      </c>
      <c r="X46" s="20">
        <v>46199</v>
      </c>
      <c r="Y46" s="19">
        <v>46199</v>
      </c>
      <c r="Z46" s="23">
        <v>46199</v>
      </c>
      <c r="AA46" s="19">
        <v>46219</v>
      </c>
      <c r="AB46" s="20">
        <v>46219</v>
      </c>
      <c r="AC46" s="19">
        <v>46220</v>
      </c>
      <c r="AD46" s="20">
        <v>46220</v>
      </c>
      <c r="AE46" s="19">
        <v>46220</v>
      </c>
      <c r="AF46" s="20">
        <v>46220</v>
      </c>
    </row>
    <row r="47" spans="2:32" s="1" customFormat="1" ht="15.95" customHeight="1" x14ac:dyDescent="0.25">
      <c r="B47" s="29">
        <v>95</v>
      </c>
      <c r="C47" s="30" t="s">
        <v>50</v>
      </c>
      <c r="D47" s="31" t="s">
        <v>47</v>
      </c>
      <c r="E47" s="32" t="s">
        <v>65</v>
      </c>
      <c r="F47" s="25" t="s">
        <v>28</v>
      </c>
      <c r="G47" s="18">
        <v>46198</v>
      </c>
      <c r="H47" s="19">
        <v>46170</v>
      </c>
      <c r="I47" s="20">
        <v>46170</v>
      </c>
      <c r="J47" s="55">
        <v>46199</v>
      </c>
      <c r="K47" s="54">
        <v>46199</v>
      </c>
      <c r="L47" s="22">
        <v>29</v>
      </c>
      <c r="M47" s="19">
        <v>46199</v>
      </c>
      <c r="N47" s="23">
        <v>46199</v>
      </c>
      <c r="O47" s="19">
        <v>46199</v>
      </c>
      <c r="P47" s="23">
        <v>46199</v>
      </c>
      <c r="Q47" s="19">
        <v>46199</v>
      </c>
      <c r="R47" s="20">
        <v>46199</v>
      </c>
      <c r="S47" s="19">
        <v>46199</v>
      </c>
      <c r="T47" s="20">
        <v>46199</v>
      </c>
      <c r="U47" s="19">
        <v>46199</v>
      </c>
      <c r="V47" s="20">
        <v>46199</v>
      </c>
      <c r="W47" s="19">
        <v>46199</v>
      </c>
      <c r="X47" s="20">
        <v>46199</v>
      </c>
      <c r="Y47" s="19">
        <v>46199</v>
      </c>
      <c r="Z47" s="23">
        <v>46199</v>
      </c>
      <c r="AA47" s="19">
        <v>46219</v>
      </c>
      <c r="AB47" s="20">
        <v>46219</v>
      </c>
      <c r="AC47" s="19">
        <v>46220</v>
      </c>
      <c r="AD47" s="20">
        <v>46220</v>
      </c>
      <c r="AE47" s="19">
        <v>46220</v>
      </c>
      <c r="AF47" s="20">
        <v>46220</v>
      </c>
    </row>
    <row r="48" spans="2:32" s="1" customFormat="1" ht="15.95" customHeight="1" x14ac:dyDescent="0.25">
      <c r="B48" s="29">
        <v>77</v>
      </c>
      <c r="C48" s="30" t="s">
        <v>46</v>
      </c>
      <c r="D48" s="31" t="s">
        <v>47</v>
      </c>
      <c r="E48" s="32" t="s">
        <v>66</v>
      </c>
      <c r="F48" s="25" t="s">
        <v>28</v>
      </c>
      <c r="G48" s="18">
        <v>46199</v>
      </c>
      <c r="H48" s="19">
        <v>46171</v>
      </c>
      <c r="I48" s="20">
        <v>46171</v>
      </c>
      <c r="J48" s="55">
        <v>46203</v>
      </c>
      <c r="K48" s="54">
        <v>46203</v>
      </c>
      <c r="L48" s="22">
        <v>32</v>
      </c>
      <c r="M48" s="19">
        <v>46203</v>
      </c>
      <c r="N48" s="23">
        <v>46203</v>
      </c>
      <c r="O48" s="19">
        <v>46203</v>
      </c>
      <c r="P48" s="23">
        <v>46203</v>
      </c>
      <c r="Q48" s="19">
        <v>46203</v>
      </c>
      <c r="R48" s="20">
        <v>46203</v>
      </c>
      <c r="S48" s="19">
        <v>46203</v>
      </c>
      <c r="T48" s="20">
        <v>46203</v>
      </c>
      <c r="U48" s="19">
        <v>46203</v>
      </c>
      <c r="V48" s="20">
        <v>46203</v>
      </c>
      <c r="W48" s="19">
        <v>46203</v>
      </c>
      <c r="X48" s="20">
        <v>46203</v>
      </c>
      <c r="Y48" s="19">
        <v>46203</v>
      </c>
      <c r="Z48" s="23">
        <v>46203</v>
      </c>
      <c r="AA48" s="19">
        <v>46220</v>
      </c>
      <c r="AB48" s="20">
        <v>46220</v>
      </c>
      <c r="AC48" s="19">
        <v>46224</v>
      </c>
      <c r="AD48" s="20">
        <v>46224</v>
      </c>
      <c r="AE48" s="19">
        <v>46224</v>
      </c>
      <c r="AF48" s="20">
        <v>46224</v>
      </c>
    </row>
    <row r="49" spans="2:32" s="1" customFormat="1" ht="15.95" customHeight="1" x14ac:dyDescent="0.25">
      <c r="B49" s="29">
        <v>77</v>
      </c>
      <c r="C49" s="30" t="s">
        <v>49</v>
      </c>
      <c r="D49" s="31" t="s">
        <v>47</v>
      </c>
      <c r="E49" s="32" t="s">
        <v>66</v>
      </c>
      <c r="F49" s="25" t="s">
        <v>28</v>
      </c>
      <c r="G49" s="18">
        <v>46199</v>
      </c>
      <c r="H49" s="19">
        <v>46171</v>
      </c>
      <c r="I49" s="20">
        <v>46171</v>
      </c>
      <c r="J49" s="55">
        <v>46203</v>
      </c>
      <c r="K49" s="54">
        <v>46203</v>
      </c>
      <c r="L49" s="22">
        <v>32</v>
      </c>
      <c r="M49" s="19">
        <v>46203</v>
      </c>
      <c r="N49" s="23">
        <v>46203</v>
      </c>
      <c r="O49" s="19">
        <v>46203</v>
      </c>
      <c r="P49" s="23">
        <v>46203</v>
      </c>
      <c r="Q49" s="19">
        <v>46203</v>
      </c>
      <c r="R49" s="20">
        <v>46203</v>
      </c>
      <c r="S49" s="19">
        <v>46203</v>
      </c>
      <c r="T49" s="20">
        <v>46203</v>
      </c>
      <c r="U49" s="19">
        <v>46203</v>
      </c>
      <c r="V49" s="20">
        <v>46203</v>
      </c>
      <c r="W49" s="19">
        <v>46203</v>
      </c>
      <c r="X49" s="20">
        <v>46203</v>
      </c>
      <c r="Y49" s="19">
        <v>46203</v>
      </c>
      <c r="Z49" s="23">
        <v>46203</v>
      </c>
      <c r="AA49" s="19">
        <v>46220</v>
      </c>
      <c r="AB49" s="20">
        <v>46220</v>
      </c>
      <c r="AC49" s="19">
        <v>46224</v>
      </c>
      <c r="AD49" s="20">
        <v>46224</v>
      </c>
      <c r="AE49" s="19">
        <v>46224</v>
      </c>
      <c r="AF49" s="20">
        <v>46224</v>
      </c>
    </row>
    <row r="50" spans="2:32" s="1" customFormat="1" ht="15.95" customHeight="1" x14ac:dyDescent="0.25">
      <c r="B50" s="29">
        <v>77</v>
      </c>
      <c r="C50" s="30" t="s">
        <v>50</v>
      </c>
      <c r="D50" s="31" t="s">
        <v>47</v>
      </c>
      <c r="E50" s="32" t="s">
        <v>66</v>
      </c>
      <c r="F50" s="25" t="s">
        <v>28</v>
      </c>
      <c r="G50" s="18">
        <v>46199</v>
      </c>
      <c r="H50" s="19">
        <v>46171</v>
      </c>
      <c r="I50" s="20">
        <v>46171</v>
      </c>
      <c r="J50" s="55">
        <v>46203</v>
      </c>
      <c r="K50" s="54">
        <v>46203</v>
      </c>
      <c r="L50" s="22">
        <v>32</v>
      </c>
      <c r="M50" s="19">
        <v>46203</v>
      </c>
      <c r="N50" s="23">
        <v>46203</v>
      </c>
      <c r="O50" s="19">
        <v>46203</v>
      </c>
      <c r="P50" s="23">
        <v>46203</v>
      </c>
      <c r="Q50" s="19">
        <v>46203</v>
      </c>
      <c r="R50" s="20">
        <v>46203</v>
      </c>
      <c r="S50" s="19">
        <v>46203</v>
      </c>
      <c r="T50" s="20">
        <v>46203</v>
      </c>
      <c r="U50" s="19">
        <v>46203</v>
      </c>
      <c r="V50" s="20">
        <v>46203</v>
      </c>
      <c r="W50" s="19">
        <v>46203</v>
      </c>
      <c r="X50" s="20">
        <v>46203</v>
      </c>
      <c r="Y50" s="19">
        <v>46203</v>
      </c>
      <c r="Z50" s="23">
        <v>46203</v>
      </c>
      <c r="AA50" s="19">
        <v>46220</v>
      </c>
      <c r="AB50" s="20">
        <v>46220</v>
      </c>
      <c r="AC50" s="19">
        <v>46224</v>
      </c>
      <c r="AD50" s="20">
        <v>46224</v>
      </c>
      <c r="AE50" s="19">
        <v>46224</v>
      </c>
      <c r="AF50" s="20">
        <v>46224</v>
      </c>
    </row>
    <row r="51" spans="2:32" s="1" customFormat="1" ht="15.95" customHeight="1" x14ac:dyDescent="0.25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s="1" customFormat="1" ht="15.95" customHeight="1" thickBot="1" x14ac:dyDescent="0.3">
      <c r="B52" s="33"/>
      <c r="C52" s="33"/>
      <c r="D52" s="33"/>
      <c r="E52" s="33"/>
      <c r="F52" s="34"/>
      <c r="G52" s="34"/>
      <c r="H52" s="35"/>
      <c r="I52" s="36"/>
      <c r="J52" s="63"/>
      <c r="K52" s="64"/>
      <c r="L52" s="37"/>
      <c r="M52" s="35"/>
      <c r="N52" s="36"/>
      <c r="O52" s="64"/>
      <c r="P52" s="64"/>
      <c r="Q52" s="36"/>
      <c r="R52" s="36"/>
      <c r="S52" s="35"/>
      <c r="T52" s="36"/>
      <c r="U52" s="35"/>
      <c r="V52" s="36"/>
      <c r="W52" s="35"/>
      <c r="X52" s="36"/>
      <c r="Y52" s="63"/>
      <c r="Z52" s="64"/>
      <c r="AA52" s="35"/>
      <c r="AB52" s="36"/>
      <c r="AC52" s="35"/>
      <c r="AD52" s="36"/>
      <c r="AE52" s="35"/>
      <c r="AF52" s="36"/>
    </row>
    <row r="53" spans="2:32" ht="15.75" hidden="1" thickBot="1" x14ac:dyDescent="0.3"/>
    <row r="54" spans="2:32" ht="15.75" hidden="1" thickBot="1" x14ac:dyDescent="0.3"/>
    <row r="55" spans="2:32" ht="30" customHeight="1" thickBot="1" x14ac:dyDescent="0.3">
      <c r="B55" s="72" t="s">
        <v>85</v>
      </c>
      <c r="C55" s="73"/>
      <c r="D55" s="73"/>
      <c r="E55" s="74"/>
      <c r="F55" s="74"/>
      <c r="G55" s="74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6"/>
    </row>
    <row r="56" spans="2:32" ht="26.25" customHeight="1" thickTop="1" thickBot="1" x14ac:dyDescent="0.3">
      <c r="B56" s="77"/>
      <c r="C56" s="78"/>
      <c r="D56" s="78"/>
      <c r="E56" s="78"/>
      <c r="F56" s="78"/>
      <c r="G56" s="78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80"/>
    </row>
    <row r="57" spans="2:32" x14ac:dyDescent="0.25">
      <c r="B57" t="s">
        <v>86</v>
      </c>
    </row>
    <row r="58" spans="2:32" x14ac:dyDescent="0.25"/>
    <row r="59" spans="2:32" x14ac:dyDescent="0.25"/>
    <row r="60" spans="2:32" x14ac:dyDescent="0.25"/>
    <row r="61" spans="2:32" x14ac:dyDescent="0.25"/>
    <row r="62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5:AF56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2">
    <cfRule type="expression" dxfId="24" priority="1" stopIfTrue="1">
      <formula>IF(H7="",TRUE,FALSE)</formula>
    </cfRule>
  </conditionalFormatting>
  <conditionalFormatting sqref="L7:L52 P51:Q52">
    <cfRule type="expression" dxfId="23" priority="5" stopIfTrue="1">
      <formula>IF(J7="",TRUE,FALSE)</formula>
    </cfRule>
  </conditionalFormatting>
  <conditionalFormatting sqref="L7:L52">
    <cfRule type="expression" dxfId="22" priority="4" stopIfTrue="1">
      <formula>IF(F7="Mensual",OR(L7&gt;32,L7&lt;28), IF(F7="Bimestral",OR(L7&gt;62,L7&lt;58),IF(F7="Trimestral",OR(L7&gt;96,L7&lt;84),FALSE)))</formula>
    </cfRule>
  </conditionalFormatting>
  <conditionalFormatting sqref="N7:N50 P7:P50 R7:R50 K7:K52 T7:T52 V7:V52 X7:X52 Z7:Z52 AB7:AB52 AD7:AD52 AF7:AF52 N51:O52">
    <cfRule type="expression" dxfId="21" priority="6" stopIfTrue="1">
      <formula>IF(J7="",TRUE,FALSE)</formula>
    </cfRule>
  </conditionalFormatting>
  <conditionalFormatting sqref="R51:R52">
    <cfRule type="expression" dxfId="20" priority="7" stopIfTrue="1">
      <formula>IF(O51="",TRUE,FALSE)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F840B-9E11-4F17-BC26-AB36D5902530}">
  <dimension ref="B1:AL66"/>
  <sheetViews>
    <sheetView workbookViewId="0">
      <selection activeCell="E11" sqref="E11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87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82</v>
      </c>
      <c r="E7" s="50" t="s">
        <v>27</v>
      </c>
      <c r="F7" s="51" t="s">
        <v>28</v>
      </c>
      <c r="G7" s="52">
        <v>46205</v>
      </c>
      <c r="H7" s="53">
        <v>46175</v>
      </c>
      <c r="I7" s="54">
        <v>46175</v>
      </c>
      <c r="J7" s="65">
        <v>46206</v>
      </c>
      <c r="K7" s="54">
        <v>46206</v>
      </c>
      <c r="L7" s="56">
        <v>31</v>
      </c>
      <c r="M7" s="53">
        <v>46209</v>
      </c>
      <c r="N7" s="57">
        <v>46209</v>
      </c>
      <c r="O7" s="66">
        <v>46210</v>
      </c>
      <c r="P7" s="54">
        <v>46210</v>
      </c>
      <c r="Q7" s="53">
        <v>46210</v>
      </c>
      <c r="R7" s="54">
        <v>46210</v>
      </c>
      <c r="S7" s="53">
        <v>46211</v>
      </c>
      <c r="T7" s="57">
        <v>46211</v>
      </c>
      <c r="U7" s="53">
        <v>46211</v>
      </c>
      <c r="V7" s="57">
        <v>46211</v>
      </c>
      <c r="W7" s="53">
        <v>46211</v>
      </c>
      <c r="X7" s="57">
        <v>46211</v>
      </c>
      <c r="Y7" s="66">
        <v>46214</v>
      </c>
      <c r="Z7" s="57">
        <v>46214</v>
      </c>
      <c r="AA7" s="53">
        <v>46226</v>
      </c>
      <c r="AB7" s="57">
        <v>46226</v>
      </c>
      <c r="AC7" s="53">
        <v>46227</v>
      </c>
      <c r="AD7" s="54">
        <v>46227</v>
      </c>
      <c r="AE7" s="53">
        <v>46227</v>
      </c>
      <c r="AF7" s="54">
        <v>46227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81</v>
      </c>
      <c r="E8" s="50" t="s">
        <v>33</v>
      </c>
      <c r="F8" s="59" t="s">
        <v>28</v>
      </c>
      <c r="G8" s="52">
        <v>46206</v>
      </c>
      <c r="H8" s="55">
        <v>46176</v>
      </c>
      <c r="I8" s="54">
        <v>46176</v>
      </c>
      <c r="J8" s="65">
        <v>46207</v>
      </c>
      <c r="K8" s="54">
        <v>46207</v>
      </c>
      <c r="L8" s="56">
        <v>31</v>
      </c>
      <c r="M8" s="53">
        <v>46209</v>
      </c>
      <c r="N8" s="57">
        <v>46209</v>
      </c>
      <c r="O8" s="66">
        <v>46210</v>
      </c>
      <c r="P8" s="54">
        <v>46210</v>
      </c>
      <c r="Q8" s="53">
        <v>46210</v>
      </c>
      <c r="R8" s="54">
        <v>46210</v>
      </c>
      <c r="S8" s="53">
        <v>46211</v>
      </c>
      <c r="T8" s="57">
        <v>46211</v>
      </c>
      <c r="U8" s="53">
        <v>46211</v>
      </c>
      <c r="V8" s="57">
        <v>46211</v>
      </c>
      <c r="W8" s="53">
        <v>46211</v>
      </c>
      <c r="X8" s="57">
        <v>46211</v>
      </c>
      <c r="Y8" s="66">
        <v>46214</v>
      </c>
      <c r="Z8" s="57">
        <v>46214</v>
      </c>
      <c r="AA8" s="53">
        <v>46226</v>
      </c>
      <c r="AB8" s="57">
        <v>46226</v>
      </c>
      <c r="AC8" s="53">
        <v>46227</v>
      </c>
      <c r="AD8" s="54">
        <v>46227</v>
      </c>
      <c r="AE8" s="53">
        <v>46227</v>
      </c>
      <c r="AF8" s="54">
        <v>46227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69</v>
      </c>
      <c r="E9" s="50" t="s">
        <v>27</v>
      </c>
      <c r="F9" s="59" t="s">
        <v>28</v>
      </c>
      <c r="G9" s="52">
        <v>46206</v>
      </c>
      <c r="H9" s="50">
        <v>46177</v>
      </c>
      <c r="I9" s="54">
        <v>46177</v>
      </c>
      <c r="J9" s="67">
        <v>46209</v>
      </c>
      <c r="K9" s="54">
        <v>46209</v>
      </c>
      <c r="L9" s="56">
        <v>32</v>
      </c>
      <c r="M9" s="53">
        <v>46210</v>
      </c>
      <c r="N9" s="57">
        <v>46210</v>
      </c>
      <c r="O9" s="66">
        <v>46211</v>
      </c>
      <c r="P9" s="54">
        <v>46211</v>
      </c>
      <c r="Q9" s="53">
        <v>46211</v>
      </c>
      <c r="R9" s="54">
        <v>46211</v>
      </c>
      <c r="S9" s="53">
        <v>46212</v>
      </c>
      <c r="T9" s="57">
        <v>46212</v>
      </c>
      <c r="U9" s="53">
        <v>46212</v>
      </c>
      <c r="V9" s="57">
        <v>46212</v>
      </c>
      <c r="W9" s="53">
        <v>46212</v>
      </c>
      <c r="X9" s="57">
        <v>46212</v>
      </c>
      <c r="Y9" s="66">
        <v>46218</v>
      </c>
      <c r="Z9" s="57">
        <v>46218</v>
      </c>
      <c r="AA9" s="53">
        <v>46227</v>
      </c>
      <c r="AB9" s="57">
        <v>46227</v>
      </c>
      <c r="AC9" s="53">
        <v>46230</v>
      </c>
      <c r="AD9" s="54">
        <v>46230</v>
      </c>
      <c r="AE9" s="53">
        <v>46230</v>
      </c>
      <c r="AF9" s="54">
        <v>46230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46209</v>
      </c>
      <c r="H10" s="53">
        <v>46178</v>
      </c>
      <c r="I10" s="61">
        <v>46178</v>
      </c>
      <c r="J10" s="67">
        <v>46210</v>
      </c>
      <c r="K10" s="54">
        <v>46210</v>
      </c>
      <c r="L10" s="56">
        <v>32</v>
      </c>
      <c r="M10" s="53">
        <v>46211</v>
      </c>
      <c r="N10" s="57">
        <v>46211</v>
      </c>
      <c r="O10" s="66">
        <v>46212</v>
      </c>
      <c r="P10" s="54">
        <v>46212</v>
      </c>
      <c r="Q10" s="53">
        <v>46212</v>
      </c>
      <c r="R10" s="54">
        <v>46212</v>
      </c>
      <c r="S10" s="53">
        <v>46213</v>
      </c>
      <c r="T10" s="57">
        <v>46213</v>
      </c>
      <c r="U10" s="53">
        <v>46213</v>
      </c>
      <c r="V10" s="57">
        <v>46213</v>
      </c>
      <c r="W10" s="53">
        <v>46213</v>
      </c>
      <c r="X10" s="57">
        <v>46213</v>
      </c>
      <c r="Y10" s="66">
        <v>46218</v>
      </c>
      <c r="Z10" s="57">
        <v>46218</v>
      </c>
      <c r="AA10" s="53">
        <v>46228</v>
      </c>
      <c r="AB10" s="57">
        <v>46228</v>
      </c>
      <c r="AC10" s="53">
        <v>46230</v>
      </c>
      <c r="AD10" s="54">
        <v>46230</v>
      </c>
      <c r="AE10" s="53">
        <v>46230</v>
      </c>
      <c r="AF10" s="54">
        <v>46230</v>
      </c>
    </row>
    <row r="11" spans="2:38" s="48" customFormat="1" ht="15.95" customHeight="1" x14ac:dyDescent="0.2">
      <c r="B11" s="49">
        <v>62</v>
      </c>
      <c r="C11" s="49">
        <v>13</v>
      </c>
      <c r="D11" s="49" t="s">
        <v>82</v>
      </c>
      <c r="E11" s="50" t="s">
        <v>71</v>
      </c>
      <c r="F11" s="51" t="s">
        <v>31</v>
      </c>
      <c r="G11" s="52">
        <v>46210</v>
      </c>
      <c r="H11" s="55">
        <v>46151</v>
      </c>
      <c r="I11" s="54">
        <v>46151</v>
      </c>
      <c r="J11" s="65">
        <v>46211</v>
      </c>
      <c r="K11" s="54">
        <v>46211</v>
      </c>
      <c r="L11" s="56">
        <v>60</v>
      </c>
      <c r="M11" s="53">
        <v>46212</v>
      </c>
      <c r="N11" s="57">
        <v>46212</v>
      </c>
      <c r="O11" s="66">
        <v>46213</v>
      </c>
      <c r="P11" s="54">
        <v>46213</v>
      </c>
      <c r="Q11" s="53">
        <v>46213</v>
      </c>
      <c r="R11" s="54">
        <v>46213</v>
      </c>
      <c r="S11" s="53">
        <v>46217</v>
      </c>
      <c r="T11" s="57">
        <v>46217</v>
      </c>
      <c r="U11" s="53">
        <v>46217</v>
      </c>
      <c r="V11" s="57">
        <v>46217</v>
      </c>
      <c r="W11" s="53">
        <v>46217</v>
      </c>
      <c r="X11" s="57">
        <v>46217</v>
      </c>
      <c r="Y11" s="66">
        <v>46219</v>
      </c>
      <c r="Z11" s="57">
        <v>46219</v>
      </c>
      <c r="AA11" s="53">
        <v>46255</v>
      </c>
      <c r="AB11" s="57">
        <v>46255</v>
      </c>
      <c r="AC11" s="53">
        <v>46258</v>
      </c>
      <c r="AD11" s="54">
        <v>46258</v>
      </c>
      <c r="AE11" s="53">
        <v>46258</v>
      </c>
      <c r="AF11" s="54">
        <v>46258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81</v>
      </c>
      <c r="E12" s="50" t="s">
        <v>36</v>
      </c>
      <c r="F12" s="59" t="s">
        <v>28</v>
      </c>
      <c r="G12" s="52">
        <v>46211</v>
      </c>
      <c r="H12" s="53">
        <v>46182</v>
      </c>
      <c r="I12" s="61">
        <v>46182</v>
      </c>
      <c r="J12" s="67">
        <v>46212</v>
      </c>
      <c r="K12" s="54">
        <v>46212</v>
      </c>
      <c r="L12" s="56">
        <v>30</v>
      </c>
      <c r="M12" s="53">
        <v>46213</v>
      </c>
      <c r="N12" s="57">
        <v>46213</v>
      </c>
      <c r="O12" s="66">
        <v>46214</v>
      </c>
      <c r="P12" s="54">
        <v>46214</v>
      </c>
      <c r="Q12" s="53">
        <v>46214</v>
      </c>
      <c r="R12" s="54">
        <v>46214</v>
      </c>
      <c r="S12" s="53">
        <v>46217</v>
      </c>
      <c r="T12" s="57">
        <v>46217</v>
      </c>
      <c r="U12" s="53">
        <v>46217</v>
      </c>
      <c r="V12" s="57">
        <v>46217</v>
      </c>
      <c r="W12" s="53">
        <v>46217</v>
      </c>
      <c r="X12" s="57">
        <v>46217</v>
      </c>
      <c r="Y12" s="66">
        <v>46220</v>
      </c>
      <c r="Z12" s="57">
        <v>46220</v>
      </c>
      <c r="AA12" s="53">
        <v>46230</v>
      </c>
      <c r="AB12" s="57">
        <v>46230</v>
      </c>
      <c r="AC12" s="53">
        <v>46231</v>
      </c>
      <c r="AD12" s="54">
        <v>46231</v>
      </c>
      <c r="AE12" s="53">
        <v>46231</v>
      </c>
      <c r="AF12" s="54">
        <v>46231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69</v>
      </c>
      <c r="E13" s="50" t="s">
        <v>37</v>
      </c>
      <c r="F13" s="59" t="s">
        <v>28</v>
      </c>
      <c r="G13" s="52">
        <v>46211</v>
      </c>
      <c r="H13" s="53">
        <v>46182</v>
      </c>
      <c r="I13" s="61">
        <v>46182</v>
      </c>
      <c r="J13" s="67">
        <v>46212</v>
      </c>
      <c r="K13" s="54">
        <v>46212</v>
      </c>
      <c r="L13" s="56">
        <v>30</v>
      </c>
      <c r="M13" s="53">
        <v>46213</v>
      </c>
      <c r="N13" s="57">
        <v>46213</v>
      </c>
      <c r="O13" s="66">
        <v>46214</v>
      </c>
      <c r="P13" s="54">
        <v>46214</v>
      </c>
      <c r="Q13" s="53">
        <v>46214</v>
      </c>
      <c r="R13" s="54">
        <v>46214</v>
      </c>
      <c r="S13" s="53">
        <v>46217</v>
      </c>
      <c r="T13" s="57">
        <v>46217</v>
      </c>
      <c r="U13" s="53">
        <v>46217</v>
      </c>
      <c r="V13" s="57">
        <v>46217</v>
      </c>
      <c r="W13" s="53">
        <v>46217</v>
      </c>
      <c r="X13" s="57">
        <v>46217</v>
      </c>
      <c r="Y13" s="66">
        <v>46220</v>
      </c>
      <c r="Z13" s="57">
        <v>46220</v>
      </c>
      <c r="AA13" s="53">
        <v>46233</v>
      </c>
      <c r="AB13" s="57">
        <v>46233</v>
      </c>
      <c r="AC13" s="53">
        <v>46234</v>
      </c>
      <c r="AD13" s="54">
        <v>46234</v>
      </c>
      <c r="AE13" s="53">
        <v>46234</v>
      </c>
      <c r="AF13" s="54">
        <v>46234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70</v>
      </c>
      <c r="E14" s="50" t="s">
        <v>38</v>
      </c>
      <c r="F14" s="59" t="s">
        <v>28</v>
      </c>
      <c r="G14" s="52">
        <v>46211</v>
      </c>
      <c r="H14" s="53">
        <v>46182</v>
      </c>
      <c r="I14" s="61">
        <v>46182</v>
      </c>
      <c r="J14" s="67">
        <v>46212</v>
      </c>
      <c r="K14" s="54">
        <v>46212</v>
      </c>
      <c r="L14" s="56">
        <v>30</v>
      </c>
      <c r="M14" s="53">
        <v>46213</v>
      </c>
      <c r="N14" s="57">
        <v>46213</v>
      </c>
      <c r="O14" s="66">
        <v>46214</v>
      </c>
      <c r="P14" s="54">
        <v>46214</v>
      </c>
      <c r="Q14" s="53">
        <v>46214</v>
      </c>
      <c r="R14" s="54">
        <v>46214</v>
      </c>
      <c r="S14" s="53">
        <v>46217</v>
      </c>
      <c r="T14" s="57">
        <v>46217</v>
      </c>
      <c r="U14" s="53">
        <v>46217</v>
      </c>
      <c r="V14" s="57">
        <v>46217</v>
      </c>
      <c r="W14" s="53">
        <v>46217</v>
      </c>
      <c r="X14" s="57">
        <v>46217</v>
      </c>
      <c r="Y14" s="66">
        <v>46220</v>
      </c>
      <c r="Z14" s="57">
        <v>46220</v>
      </c>
      <c r="AA14" s="53">
        <v>46232</v>
      </c>
      <c r="AB14" s="57">
        <v>46232</v>
      </c>
      <c r="AC14" s="53">
        <v>46233</v>
      </c>
      <c r="AD14" s="54">
        <v>46233</v>
      </c>
      <c r="AE14" s="53">
        <v>46233</v>
      </c>
      <c r="AF14" s="54">
        <v>46233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81</v>
      </c>
      <c r="E15" s="50" t="s">
        <v>39</v>
      </c>
      <c r="F15" s="59" t="s">
        <v>28</v>
      </c>
      <c r="G15" s="52">
        <v>46212</v>
      </c>
      <c r="H15" s="53">
        <v>46183</v>
      </c>
      <c r="I15" s="61">
        <v>46183</v>
      </c>
      <c r="J15" s="67">
        <v>46213</v>
      </c>
      <c r="K15" s="54">
        <v>46213</v>
      </c>
      <c r="L15" s="56">
        <v>30</v>
      </c>
      <c r="M15" s="53">
        <v>46218</v>
      </c>
      <c r="N15" s="57">
        <v>46218</v>
      </c>
      <c r="O15" s="66">
        <v>46219</v>
      </c>
      <c r="P15" s="54">
        <v>46219</v>
      </c>
      <c r="Q15" s="53">
        <v>46220</v>
      </c>
      <c r="R15" s="54">
        <v>46220</v>
      </c>
      <c r="S15" s="53">
        <v>46224</v>
      </c>
      <c r="T15" s="57">
        <v>46224</v>
      </c>
      <c r="U15" s="53">
        <v>46224</v>
      </c>
      <c r="V15" s="57">
        <v>46224</v>
      </c>
      <c r="W15" s="53">
        <v>46224</v>
      </c>
      <c r="X15" s="57">
        <v>46224</v>
      </c>
      <c r="Y15" s="66">
        <v>46230</v>
      </c>
      <c r="Z15" s="57">
        <v>46230</v>
      </c>
      <c r="AA15" s="53">
        <v>46238</v>
      </c>
      <c r="AB15" s="57">
        <v>46238</v>
      </c>
      <c r="AC15" s="53">
        <v>46239</v>
      </c>
      <c r="AD15" s="54">
        <v>46239</v>
      </c>
      <c r="AE15" s="53">
        <v>46239</v>
      </c>
      <c r="AF15" s="54">
        <v>46239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82</v>
      </c>
      <c r="E16" s="50" t="s">
        <v>41</v>
      </c>
      <c r="F16" s="59" t="s">
        <v>28</v>
      </c>
      <c r="G16" s="52">
        <v>46213</v>
      </c>
      <c r="H16" s="55">
        <v>46185</v>
      </c>
      <c r="I16" s="54">
        <v>46185</v>
      </c>
      <c r="J16" s="65">
        <v>46214</v>
      </c>
      <c r="K16" s="54">
        <v>46214</v>
      </c>
      <c r="L16" s="56">
        <v>29</v>
      </c>
      <c r="M16" s="53">
        <v>46217</v>
      </c>
      <c r="N16" s="57">
        <v>46217</v>
      </c>
      <c r="O16" s="66">
        <v>46218</v>
      </c>
      <c r="P16" s="54">
        <v>46218</v>
      </c>
      <c r="Q16" s="53">
        <v>46218</v>
      </c>
      <c r="R16" s="54">
        <v>46218</v>
      </c>
      <c r="S16" s="53">
        <v>46219</v>
      </c>
      <c r="T16" s="57">
        <v>46219</v>
      </c>
      <c r="U16" s="53">
        <v>46219</v>
      </c>
      <c r="V16" s="57">
        <v>46219</v>
      </c>
      <c r="W16" s="53">
        <v>46219</v>
      </c>
      <c r="X16" s="57">
        <v>46219</v>
      </c>
      <c r="Y16" s="66">
        <v>46224</v>
      </c>
      <c r="Z16" s="57">
        <v>46224</v>
      </c>
      <c r="AA16" s="53">
        <v>46233</v>
      </c>
      <c r="AB16" s="57">
        <v>46233</v>
      </c>
      <c r="AC16" s="53">
        <v>46234</v>
      </c>
      <c r="AD16" s="54">
        <v>46234</v>
      </c>
      <c r="AE16" s="53">
        <v>46234</v>
      </c>
      <c r="AF16" s="54">
        <v>46234</v>
      </c>
    </row>
    <row r="17" spans="2:32" s="48" customFormat="1" ht="15.95" customHeight="1" x14ac:dyDescent="0.2">
      <c r="B17" s="49">
        <v>29</v>
      </c>
      <c r="C17" s="49">
        <v>11</v>
      </c>
      <c r="D17" s="49" t="s">
        <v>69</v>
      </c>
      <c r="E17" s="50" t="s">
        <v>42</v>
      </c>
      <c r="F17" s="59" t="s">
        <v>28</v>
      </c>
      <c r="G17" s="52">
        <v>46213</v>
      </c>
      <c r="H17" s="55">
        <v>46186</v>
      </c>
      <c r="I17" s="54">
        <v>46186</v>
      </c>
      <c r="J17" s="65">
        <v>46217</v>
      </c>
      <c r="K17" s="54">
        <v>46217</v>
      </c>
      <c r="L17" s="56">
        <v>31</v>
      </c>
      <c r="M17" s="53">
        <v>46219</v>
      </c>
      <c r="N17" s="57">
        <v>46219</v>
      </c>
      <c r="O17" s="66">
        <v>46220</v>
      </c>
      <c r="P17" s="54">
        <v>46220</v>
      </c>
      <c r="Q17" s="53">
        <v>46224</v>
      </c>
      <c r="R17" s="54">
        <v>46224</v>
      </c>
      <c r="S17" s="53">
        <v>46225</v>
      </c>
      <c r="T17" s="57">
        <v>46225</v>
      </c>
      <c r="U17" s="53">
        <v>46225</v>
      </c>
      <c r="V17" s="57">
        <v>46225</v>
      </c>
      <c r="W17" s="53">
        <v>46225</v>
      </c>
      <c r="X17" s="57">
        <v>46225</v>
      </c>
      <c r="Y17" s="66">
        <v>46231</v>
      </c>
      <c r="Z17" s="57">
        <v>46231</v>
      </c>
      <c r="AA17" s="53">
        <v>46240</v>
      </c>
      <c r="AB17" s="57">
        <v>46240</v>
      </c>
      <c r="AC17" s="53">
        <v>46244</v>
      </c>
      <c r="AD17" s="54">
        <v>46244</v>
      </c>
      <c r="AE17" s="53">
        <v>46244</v>
      </c>
      <c r="AF17" s="54">
        <v>46244</v>
      </c>
    </row>
    <row r="18" spans="2:32" s="48" customFormat="1" ht="15" customHeight="1" x14ac:dyDescent="0.2">
      <c r="B18" s="49">
        <v>59</v>
      </c>
      <c r="C18" s="49">
        <v>13</v>
      </c>
      <c r="D18" s="49" t="s">
        <v>70</v>
      </c>
      <c r="E18" s="50" t="s">
        <v>27</v>
      </c>
      <c r="F18" s="59" t="s">
        <v>31</v>
      </c>
      <c r="G18" s="52">
        <v>46217</v>
      </c>
      <c r="H18" s="50">
        <v>46158</v>
      </c>
      <c r="I18" s="54">
        <v>46158</v>
      </c>
      <c r="J18" s="65">
        <v>46218</v>
      </c>
      <c r="K18" s="54">
        <v>46218</v>
      </c>
      <c r="L18" s="56">
        <v>60</v>
      </c>
      <c r="M18" s="53">
        <v>46219</v>
      </c>
      <c r="N18" s="57">
        <v>46219</v>
      </c>
      <c r="O18" s="66">
        <v>46220</v>
      </c>
      <c r="P18" s="54">
        <v>46220</v>
      </c>
      <c r="Q18" s="53">
        <v>46220</v>
      </c>
      <c r="R18" s="54">
        <v>46220</v>
      </c>
      <c r="S18" s="53">
        <v>46224</v>
      </c>
      <c r="T18" s="57">
        <v>46224</v>
      </c>
      <c r="U18" s="53">
        <v>46224</v>
      </c>
      <c r="V18" s="57">
        <v>46224</v>
      </c>
      <c r="W18" s="53">
        <v>46224</v>
      </c>
      <c r="X18" s="57">
        <v>46224</v>
      </c>
      <c r="Y18" s="66">
        <v>46227</v>
      </c>
      <c r="Z18" s="57">
        <v>46227</v>
      </c>
      <c r="AA18" s="53">
        <v>46258</v>
      </c>
      <c r="AB18" s="57">
        <v>46258</v>
      </c>
      <c r="AC18" s="53">
        <v>46259</v>
      </c>
      <c r="AD18" s="54">
        <v>46259</v>
      </c>
      <c r="AE18" s="53">
        <v>46259</v>
      </c>
      <c r="AF18" s="54">
        <v>46259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81</v>
      </c>
      <c r="E19" s="50" t="s">
        <v>43</v>
      </c>
      <c r="F19" s="59" t="s">
        <v>28</v>
      </c>
      <c r="G19" s="52">
        <v>46218</v>
      </c>
      <c r="H19" s="55">
        <v>46189</v>
      </c>
      <c r="I19" s="54">
        <v>46189</v>
      </c>
      <c r="J19" s="65">
        <v>46219</v>
      </c>
      <c r="K19" s="54">
        <v>46219</v>
      </c>
      <c r="L19" s="56">
        <v>30</v>
      </c>
      <c r="M19" s="53">
        <v>46220</v>
      </c>
      <c r="N19" s="57">
        <v>46220</v>
      </c>
      <c r="O19" s="66">
        <v>46221</v>
      </c>
      <c r="P19" s="54">
        <v>46221</v>
      </c>
      <c r="Q19" s="53">
        <v>46221</v>
      </c>
      <c r="R19" s="54">
        <v>46221</v>
      </c>
      <c r="S19" s="53">
        <v>46224</v>
      </c>
      <c r="T19" s="57">
        <v>46224</v>
      </c>
      <c r="U19" s="53">
        <v>46224</v>
      </c>
      <c r="V19" s="57">
        <v>46224</v>
      </c>
      <c r="W19" s="53">
        <v>46224</v>
      </c>
      <c r="X19" s="57">
        <v>46224</v>
      </c>
      <c r="Y19" s="66">
        <v>46227</v>
      </c>
      <c r="Z19" s="57">
        <v>46227</v>
      </c>
      <c r="AA19" s="53">
        <v>46238</v>
      </c>
      <c r="AB19" s="57">
        <v>46238</v>
      </c>
      <c r="AC19" s="53">
        <v>46239</v>
      </c>
      <c r="AD19" s="54">
        <v>46239</v>
      </c>
      <c r="AE19" s="53">
        <v>46239</v>
      </c>
      <c r="AF19" s="54">
        <v>46239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69</v>
      </c>
      <c r="E20" s="50" t="s">
        <v>39</v>
      </c>
      <c r="F20" s="59" t="s">
        <v>28</v>
      </c>
      <c r="G20" s="52">
        <v>46219</v>
      </c>
      <c r="H20" s="55">
        <v>46190</v>
      </c>
      <c r="I20" s="54">
        <v>46190</v>
      </c>
      <c r="J20" s="65">
        <v>46220</v>
      </c>
      <c r="K20" s="54">
        <v>46220</v>
      </c>
      <c r="L20" s="56">
        <v>30</v>
      </c>
      <c r="M20" s="53">
        <v>46224</v>
      </c>
      <c r="N20" s="57">
        <v>46224</v>
      </c>
      <c r="O20" s="66">
        <v>46225</v>
      </c>
      <c r="P20" s="54">
        <v>46225</v>
      </c>
      <c r="Q20" s="53">
        <v>46226</v>
      </c>
      <c r="R20" s="54">
        <v>46226</v>
      </c>
      <c r="S20" s="53">
        <v>46227</v>
      </c>
      <c r="T20" s="57">
        <v>46227</v>
      </c>
      <c r="U20" s="53">
        <v>46227</v>
      </c>
      <c r="V20" s="57">
        <v>46227</v>
      </c>
      <c r="W20" s="53">
        <v>46227</v>
      </c>
      <c r="X20" s="57">
        <v>46227</v>
      </c>
      <c r="Y20" s="66">
        <v>46233</v>
      </c>
      <c r="Z20" s="57">
        <v>46233</v>
      </c>
      <c r="AA20" s="53">
        <v>46245</v>
      </c>
      <c r="AB20" s="57">
        <v>46245</v>
      </c>
      <c r="AC20" s="53">
        <v>46246</v>
      </c>
      <c r="AD20" s="54">
        <v>46246</v>
      </c>
      <c r="AE20" s="53">
        <v>46246</v>
      </c>
      <c r="AF20" s="54">
        <v>46246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82</v>
      </c>
      <c r="E21" s="50" t="s">
        <v>44</v>
      </c>
      <c r="F21" s="59" t="s">
        <v>28</v>
      </c>
      <c r="G21" s="52">
        <v>46219</v>
      </c>
      <c r="H21" s="55">
        <v>46190</v>
      </c>
      <c r="I21" s="54">
        <v>46190</v>
      </c>
      <c r="J21" s="65">
        <v>46220</v>
      </c>
      <c r="K21" s="54">
        <v>46220</v>
      </c>
      <c r="L21" s="56">
        <v>30</v>
      </c>
      <c r="M21" s="53">
        <v>46224</v>
      </c>
      <c r="N21" s="57">
        <v>46224</v>
      </c>
      <c r="O21" s="66">
        <v>46225</v>
      </c>
      <c r="P21" s="54">
        <v>46225</v>
      </c>
      <c r="Q21" s="53">
        <v>46225</v>
      </c>
      <c r="R21" s="54">
        <v>46225</v>
      </c>
      <c r="S21" s="53">
        <v>46226</v>
      </c>
      <c r="T21" s="57">
        <v>46226</v>
      </c>
      <c r="U21" s="53">
        <v>46226</v>
      </c>
      <c r="V21" s="57">
        <v>46226</v>
      </c>
      <c r="W21" s="53">
        <v>46226</v>
      </c>
      <c r="X21" s="57">
        <v>46226</v>
      </c>
      <c r="Y21" s="66">
        <v>46231</v>
      </c>
      <c r="Z21" s="57">
        <v>46231</v>
      </c>
      <c r="AA21" s="53">
        <v>46244</v>
      </c>
      <c r="AB21" s="57">
        <v>46244</v>
      </c>
      <c r="AC21" s="53">
        <v>46245</v>
      </c>
      <c r="AD21" s="54">
        <v>46245</v>
      </c>
      <c r="AE21" s="53">
        <v>46245</v>
      </c>
      <c r="AF21" s="54">
        <v>46245</v>
      </c>
    </row>
    <row r="22" spans="2:32" s="1" customFormat="1" ht="15.95" customHeight="1" x14ac:dyDescent="0.2">
      <c r="B22" s="15">
        <v>64</v>
      </c>
      <c r="C22" s="15">
        <v>12</v>
      </c>
      <c r="D22" s="49" t="s">
        <v>69</v>
      </c>
      <c r="E22" s="16" t="s">
        <v>36</v>
      </c>
      <c r="F22" s="25" t="s">
        <v>31</v>
      </c>
      <c r="G22" s="52">
        <v>46220</v>
      </c>
      <c r="H22" s="55">
        <v>46162</v>
      </c>
      <c r="I22" s="54">
        <v>46162</v>
      </c>
      <c r="J22" s="65">
        <v>46221</v>
      </c>
      <c r="K22" s="54">
        <v>46221</v>
      </c>
      <c r="L22" s="22">
        <v>59</v>
      </c>
      <c r="M22" s="19">
        <v>46224</v>
      </c>
      <c r="N22" s="23">
        <v>46224</v>
      </c>
      <c r="O22" s="66">
        <v>46226</v>
      </c>
      <c r="P22" s="54">
        <v>46226</v>
      </c>
      <c r="Q22" s="19">
        <v>46226</v>
      </c>
      <c r="R22" s="20">
        <v>46226</v>
      </c>
      <c r="S22" s="53">
        <v>46227</v>
      </c>
      <c r="T22" s="23">
        <v>46227</v>
      </c>
      <c r="U22" s="19">
        <v>46227</v>
      </c>
      <c r="V22" s="23">
        <v>46227</v>
      </c>
      <c r="W22" s="19">
        <v>46227</v>
      </c>
      <c r="X22" s="23">
        <v>46227</v>
      </c>
      <c r="Y22" s="66">
        <v>46231</v>
      </c>
      <c r="Z22" s="57">
        <v>46231</v>
      </c>
      <c r="AA22" s="53">
        <v>46260</v>
      </c>
      <c r="AB22" s="23">
        <v>46260</v>
      </c>
      <c r="AC22" s="19">
        <v>46261</v>
      </c>
      <c r="AD22" s="20">
        <v>46261</v>
      </c>
      <c r="AE22" s="19">
        <v>46261</v>
      </c>
      <c r="AF22" s="20">
        <v>46261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70</v>
      </c>
      <c r="E23" s="50" t="s">
        <v>39</v>
      </c>
      <c r="F23" s="59" t="s">
        <v>28</v>
      </c>
      <c r="G23" s="52">
        <v>46220</v>
      </c>
      <c r="H23" s="55">
        <v>46193</v>
      </c>
      <c r="I23" s="54">
        <v>46193</v>
      </c>
      <c r="J23" s="65">
        <v>46223</v>
      </c>
      <c r="K23" s="54">
        <v>46223</v>
      </c>
      <c r="L23" s="56">
        <v>30</v>
      </c>
      <c r="M23" s="53">
        <v>46224</v>
      </c>
      <c r="N23" s="57">
        <v>46224</v>
      </c>
      <c r="O23" s="66">
        <v>46225</v>
      </c>
      <c r="P23" s="54">
        <v>46225</v>
      </c>
      <c r="Q23" s="53">
        <v>46226</v>
      </c>
      <c r="R23" s="54">
        <v>46226</v>
      </c>
      <c r="S23" s="53">
        <v>46227</v>
      </c>
      <c r="T23" s="57">
        <v>46227</v>
      </c>
      <c r="U23" s="53">
        <v>46227</v>
      </c>
      <c r="V23" s="57">
        <v>46227</v>
      </c>
      <c r="W23" s="53">
        <v>46227</v>
      </c>
      <c r="X23" s="57">
        <v>46227</v>
      </c>
      <c r="Y23" s="66">
        <v>46234</v>
      </c>
      <c r="Z23" s="57">
        <v>46234</v>
      </c>
      <c r="AA23" s="53">
        <v>46245</v>
      </c>
      <c r="AB23" s="57">
        <v>46245</v>
      </c>
      <c r="AC23" s="53">
        <v>46246</v>
      </c>
      <c r="AD23" s="54">
        <v>46246</v>
      </c>
      <c r="AE23" s="53">
        <v>46246</v>
      </c>
      <c r="AF23" s="54">
        <v>46246</v>
      </c>
    </row>
    <row r="24" spans="2:32" s="48" customFormat="1" ht="15.95" customHeight="1" x14ac:dyDescent="0.2">
      <c r="B24" s="49">
        <v>47</v>
      </c>
      <c r="C24" s="49">
        <v>11</v>
      </c>
      <c r="D24" s="49" t="s">
        <v>82</v>
      </c>
      <c r="E24" s="50" t="s">
        <v>39</v>
      </c>
      <c r="F24" s="59" t="s">
        <v>28</v>
      </c>
      <c r="G24" s="52">
        <v>46220</v>
      </c>
      <c r="H24" s="55">
        <v>46193</v>
      </c>
      <c r="I24" s="54">
        <v>46193</v>
      </c>
      <c r="J24" s="65">
        <v>46224</v>
      </c>
      <c r="K24" s="54">
        <v>46224</v>
      </c>
      <c r="L24" s="56">
        <v>31</v>
      </c>
      <c r="M24" s="53">
        <v>46225</v>
      </c>
      <c r="N24" s="57">
        <v>46225</v>
      </c>
      <c r="O24" s="66">
        <v>46226</v>
      </c>
      <c r="P24" s="54">
        <v>46226</v>
      </c>
      <c r="Q24" s="53">
        <v>46227</v>
      </c>
      <c r="R24" s="54">
        <v>46227</v>
      </c>
      <c r="S24" s="53">
        <v>46230</v>
      </c>
      <c r="T24" s="57">
        <v>46230</v>
      </c>
      <c r="U24" s="53">
        <v>46230</v>
      </c>
      <c r="V24" s="57">
        <v>46230</v>
      </c>
      <c r="W24" s="53">
        <v>46230</v>
      </c>
      <c r="X24" s="57">
        <v>46230</v>
      </c>
      <c r="Y24" s="66">
        <v>46234</v>
      </c>
      <c r="Z24" s="57">
        <v>46234</v>
      </c>
      <c r="AA24" s="53">
        <v>46247</v>
      </c>
      <c r="AB24" s="57">
        <v>46247</v>
      </c>
      <c r="AC24" s="53">
        <v>46248</v>
      </c>
      <c r="AD24" s="54">
        <v>46248</v>
      </c>
      <c r="AE24" s="53">
        <v>46248</v>
      </c>
      <c r="AF24" s="54">
        <v>46248</v>
      </c>
    </row>
    <row r="25" spans="2:32" s="1" customFormat="1" ht="15.95" customHeight="1" x14ac:dyDescent="0.2">
      <c r="B25" s="15">
        <v>71</v>
      </c>
      <c r="C25" s="15">
        <v>11</v>
      </c>
      <c r="D25" s="15" t="s">
        <v>81</v>
      </c>
      <c r="E25" s="16" t="s">
        <v>33</v>
      </c>
      <c r="F25" s="25" t="s">
        <v>31</v>
      </c>
      <c r="G25" s="18">
        <v>46220</v>
      </c>
      <c r="H25" s="55">
        <v>46164</v>
      </c>
      <c r="I25" s="54">
        <v>46164</v>
      </c>
      <c r="J25" s="65">
        <v>46225</v>
      </c>
      <c r="K25" s="54">
        <v>46225</v>
      </c>
      <c r="L25" s="22">
        <v>61</v>
      </c>
      <c r="M25" s="19">
        <v>46226</v>
      </c>
      <c r="N25" s="23">
        <v>46226</v>
      </c>
      <c r="O25" s="66">
        <v>46227</v>
      </c>
      <c r="P25" s="54">
        <v>46227</v>
      </c>
      <c r="Q25" s="19">
        <v>46227</v>
      </c>
      <c r="R25" s="20">
        <v>46227</v>
      </c>
      <c r="S25" s="53">
        <v>46230</v>
      </c>
      <c r="T25" s="23">
        <v>46230</v>
      </c>
      <c r="U25" s="19">
        <v>46230</v>
      </c>
      <c r="V25" s="23">
        <v>46230</v>
      </c>
      <c r="W25" s="19">
        <v>46230</v>
      </c>
      <c r="X25" s="23">
        <v>46230</v>
      </c>
      <c r="Y25" s="66">
        <v>46233</v>
      </c>
      <c r="Z25" s="57">
        <v>46233</v>
      </c>
      <c r="AA25" s="53">
        <v>46260</v>
      </c>
      <c r="AB25" s="23">
        <v>46260</v>
      </c>
      <c r="AC25" s="19">
        <v>46261</v>
      </c>
      <c r="AD25" s="20">
        <v>46261</v>
      </c>
      <c r="AE25" s="19">
        <v>46261</v>
      </c>
      <c r="AF25" s="20">
        <v>46261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73</v>
      </c>
      <c r="E26" s="50" t="s">
        <v>39</v>
      </c>
      <c r="F26" s="59" t="s">
        <v>28</v>
      </c>
      <c r="G26" s="52">
        <v>46224</v>
      </c>
      <c r="H26" s="55">
        <v>46195</v>
      </c>
      <c r="I26" s="54">
        <v>46195</v>
      </c>
      <c r="J26" s="65">
        <v>46226</v>
      </c>
      <c r="K26" s="54">
        <v>46226</v>
      </c>
      <c r="L26" s="56">
        <v>31</v>
      </c>
      <c r="M26" s="53">
        <v>46227</v>
      </c>
      <c r="N26" s="57">
        <v>46227</v>
      </c>
      <c r="O26" s="66">
        <v>46228</v>
      </c>
      <c r="P26" s="54">
        <v>46228</v>
      </c>
      <c r="Q26" s="53">
        <v>46230</v>
      </c>
      <c r="R26" s="54">
        <v>46230</v>
      </c>
      <c r="S26" s="53">
        <v>46231</v>
      </c>
      <c r="T26" s="57">
        <v>46231</v>
      </c>
      <c r="U26" s="53">
        <v>46231</v>
      </c>
      <c r="V26" s="57">
        <v>46231</v>
      </c>
      <c r="W26" s="53">
        <v>46231</v>
      </c>
      <c r="X26" s="57">
        <v>46231</v>
      </c>
      <c r="Y26" s="66">
        <v>46235</v>
      </c>
      <c r="Z26" s="57">
        <v>46235</v>
      </c>
      <c r="AA26" s="53">
        <v>46247</v>
      </c>
      <c r="AB26" s="57">
        <v>46247</v>
      </c>
      <c r="AC26" s="53">
        <v>46248</v>
      </c>
      <c r="AD26" s="54">
        <v>46248</v>
      </c>
      <c r="AE26" s="53">
        <v>46248</v>
      </c>
      <c r="AF26" s="54">
        <v>46248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69</v>
      </c>
      <c r="E27" s="50" t="s">
        <v>39</v>
      </c>
      <c r="F27" s="59" t="s">
        <v>28</v>
      </c>
      <c r="G27" s="52">
        <v>46225</v>
      </c>
      <c r="H27" s="55">
        <v>46196</v>
      </c>
      <c r="I27" s="54">
        <v>46196</v>
      </c>
      <c r="J27" s="65">
        <v>46226</v>
      </c>
      <c r="K27" s="54">
        <v>46226</v>
      </c>
      <c r="L27" s="56">
        <v>30</v>
      </c>
      <c r="M27" s="53">
        <v>46227</v>
      </c>
      <c r="N27" s="57">
        <v>46227</v>
      </c>
      <c r="O27" s="66">
        <v>46228</v>
      </c>
      <c r="P27" s="54">
        <v>46228</v>
      </c>
      <c r="Q27" s="53">
        <v>46230</v>
      </c>
      <c r="R27" s="54">
        <v>46230</v>
      </c>
      <c r="S27" s="53">
        <v>46231</v>
      </c>
      <c r="T27" s="57">
        <v>46231</v>
      </c>
      <c r="U27" s="53">
        <v>46231</v>
      </c>
      <c r="V27" s="57">
        <v>46231</v>
      </c>
      <c r="W27" s="53">
        <v>46231</v>
      </c>
      <c r="X27" s="57">
        <v>46231</v>
      </c>
      <c r="Y27" s="66">
        <v>46235</v>
      </c>
      <c r="Z27" s="57">
        <v>46235</v>
      </c>
      <c r="AA27" s="53">
        <v>46248</v>
      </c>
      <c r="AB27" s="57">
        <v>46248</v>
      </c>
      <c r="AC27" s="53">
        <v>46252</v>
      </c>
      <c r="AD27" s="54">
        <v>46252</v>
      </c>
      <c r="AE27" s="53">
        <v>46252</v>
      </c>
      <c r="AF27" s="54">
        <v>46252</v>
      </c>
    </row>
    <row r="28" spans="2:32" s="48" customFormat="1" ht="15" customHeight="1" x14ac:dyDescent="0.2">
      <c r="B28" s="49">
        <v>53</v>
      </c>
      <c r="C28" s="49">
        <v>11</v>
      </c>
      <c r="D28" s="49" t="s">
        <v>82</v>
      </c>
      <c r="E28" s="50" t="s">
        <v>39</v>
      </c>
      <c r="F28" s="59" t="s">
        <v>28</v>
      </c>
      <c r="G28" s="52">
        <v>46226</v>
      </c>
      <c r="H28" s="55">
        <v>46196</v>
      </c>
      <c r="I28" s="54">
        <v>46196</v>
      </c>
      <c r="J28" s="65">
        <v>46227</v>
      </c>
      <c r="K28" s="54">
        <v>46227</v>
      </c>
      <c r="L28" s="56">
        <v>31</v>
      </c>
      <c r="M28" s="53">
        <v>46230</v>
      </c>
      <c r="N28" s="57">
        <v>46230</v>
      </c>
      <c r="O28" s="66">
        <v>46231</v>
      </c>
      <c r="P28" s="54">
        <v>46231</v>
      </c>
      <c r="Q28" s="53">
        <v>46232</v>
      </c>
      <c r="R28" s="54">
        <v>46232</v>
      </c>
      <c r="S28" s="53">
        <v>46233</v>
      </c>
      <c r="T28" s="57">
        <v>46233</v>
      </c>
      <c r="U28" s="53">
        <v>46233</v>
      </c>
      <c r="V28" s="57">
        <v>46233</v>
      </c>
      <c r="W28" s="53">
        <v>46233</v>
      </c>
      <c r="X28" s="57">
        <v>46233</v>
      </c>
      <c r="Y28" s="66">
        <v>46239</v>
      </c>
      <c r="Z28" s="57">
        <v>46239</v>
      </c>
      <c r="AA28" s="53" t="e">
        <v>#REF!</v>
      </c>
      <c r="AB28" s="57" t="e">
        <v>#REF!</v>
      </c>
      <c r="AC28" s="53" t="e">
        <v>#REF!</v>
      </c>
      <c r="AD28" s="54" t="e">
        <v>#REF!</v>
      </c>
      <c r="AE28" s="53" t="e">
        <v>#REF!</v>
      </c>
      <c r="AF28" s="54" t="e">
        <v>#REF!</v>
      </c>
    </row>
    <row r="29" spans="2:32" s="1" customFormat="1" ht="15.95" customHeight="1" x14ac:dyDescent="0.2">
      <c r="B29" s="15">
        <v>65</v>
      </c>
      <c r="C29" s="15">
        <v>12</v>
      </c>
      <c r="D29" s="49" t="s">
        <v>70</v>
      </c>
      <c r="E29" s="16" t="s">
        <v>72</v>
      </c>
      <c r="F29" s="25" t="s">
        <v>31</v>
      </c>
      <c r="G29" s="18">
        <v>46227</v>
      </c>
      <c r="H29" s="55">
        <v>46167</v>
      </c>
      <c r="I29" s="54">
        <v>46167</v>
      </c>
      <c r="J29" s="65">
        <v>46228</v>
      </c>
      <c r="K29" s="54">
        <v>46228</v>
      </c>
      <c r="L29" s="22">
        <v>61</v>
      </c>
      <c r="M29" s="19">
        <v>46230</v>
      </c>
      <c r="N29" s="23">
        <v>46230</v>
      </c>
      <c r="O29" s="66">
        <v>46231</v>
      </c>
      <c r="P29" s="54">
        <v>46231</v>
      </c>
      <c r="Q29" s="19">
        <v>46231</v>
      </c>
      <c r="R29" s="20">
        <v>46231</v>
      </c>
      <c r="S29" s="53">
        <v>46232</v>
      </c>
      <c r="T29" s="23">
        <v>46232</v>
      </c>
      <c r="U29" s="19">
        <v>46232</v>
      </c>
      <c r="V29" s="23">
        <v>46232</v>
      </c>
      <c r="W29" s="19">
        <v>46232</v>
      </c>
      <c r="X29" s="23">
        <v>46232</v>
      </c>
      <c r="Y29" s="66">
        <v>46235</v>
      </c>
      <c r="Z29" s="57">
        <v>46235</v>
      </c>
      <c r="AA29" s="53">
        <v>46272</v>
      </c>
      <c r="AB29" s="23">
        <v>46272</v>
      </c>
      <c r="AC29" s="19">
        <v>46273</v>
      </c>
      <c r="AD29" s="20">
        <v>46273</v>
      </c>
      <c r="AE29" s="19">
        <v>46273</v>
      </c>
      <c r="AF29" s="20">
        <v>46273</v>
      </c>
    </row>
    <row r="30" spans="2:32" s="1" customFormat="1" ht="15.95" customHeight="1" x14ac:dyDescent="0.2">
      <c r="B30" s="15">
        <v>68</v>
      </c>
      <c r="C30" s="15">
        <v>12</v>
      </c>
      <c r="D30" s="15" t="s">
        <v>81</v>
      </c>
      <c r="E30" s="16" t="s">
        <v>41</v>
      </c>
      <c r="F30" s="25" t="s">
        <v>31</v>
      </c>
      <c r="G30" s="18">
        <v>46227</v>
      </c>
      <c r="H30" s="55">
        <v>46168</v>
      </c>
      <c r="I30" s="54">
        <v>46168</v>
      </c>
      <c r="J30" s="65">
        <v>46230</v>
      </c>
      <c r="K30" s="54">
        <v>46230</v>
      </c>
      <c r="L30" s="22">
        <v>62</v>
      </c>
      <c r="M30" s="19">
        <v>46231</v>
      </c>
      <c r="N30" s="23">
        <v>46231</v>
      </c>
      <c r="O30" s="66">
        <v>46232</v>
      </c>
      <c r="P30" s="54">
        <v>46232</v>
      </c>
      <c r="Q30" s="19">
        <v>46232</v>
      </c>
      <c r="R30" s="20">
        <v>46232</v>
      </c>
      <c r="S30" s="53">
        <v>46233</v>
      </c>
      <c r="T30" s="23">
        <v>46233</v>
      </c>
      <c r="U30" s="19">
        <v>46233</v>
      </c>
      <c r="V30" s="23">
        <v>46233</v>
      </c>
      <c r="W30" s="19">
        <v>46233</v>
      </c>
      <c r="X30" s="23">
        <v>46233</v>
      </c>
      <c r="Y30" s="66">
        <v>46235</v>
      </c>
      <c r="Z30" s="57">
        <v>46235</v>
      </c>
      <c r="AA30" s="53">
        <v>46272</v>
      </c>
      <c r="AB30" s="23">
        <v>46272</v>
      </c>
      <c r="AC30" s="19">
        <v>46273</v>
      </c>
      <c r="AD30" s="20">
        <v>46273</v>
      </c>
      <c r="AE30" s="19">
        <v>46273</v>
      </c>
      <c r="AF30" s="20">
        <v>46273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46206</v>
      </c>
      <c r="H31" s="19">
        <v>46178</v>
      </c>
      <c r="I31" s="20">
        <v>46178</v>
      </c>
      <c r="J31" s="55">
        <v>46209</v>
      </c>
      <c r="K31" s="54">
        <v>46209</v>
      </c>
      <c r="L31" s="56">
        <v>31</v>
      </c>
      <c r="M31" s="19">
        <v>46209</v>
      </c>
      <c r="N31" s="23">
        <v>46209</v>
      </c>
      <c r="O31" s="19">
        <v>46209</v>
      </c>
      <c r="P31" s="23">
        <v>46209</v>
      </c>
      <c r="Q31" s="19">
        <v>46209</v>
      </c>
      <c r="R31" s="20">
        <v>46209</v>
      </c>
      <c r="S31" s="19">
        <v>46209</v>
      </c>
      <c r="T31" s="20">
        <v>46209</v>
      </c>
      <c r="U31" s="19">
        <v>46209</v>
      </c>
      <c r="V31" s="20">
        <v>46209</v>
      </c>
      <c r="W31" s="19">
        <v>46209</v>
      </c>
      <c r="X31" s="20">
        <v>46209</v>
      </c>
      <c r="Y31" s="19">
        <v>46209</v>
      </c>
      <c r="Z31" s="23">
        <v>46209</v>
      </c>
      <c r="AA31" s="19">
        <v>46234</v>
      </c>
      <c r="AB31" s="20">
        <v>46234</v>
      </c>
      <c r="AC31" s="19">
        <v>46237</v>
      </c>
      <c r="AD31" s="20">
        <v>46237</v>
      </c>
      <c r="AE31" s="19">
        <v>46237</v>
      </c>
      <c r="AF31" s="20">
        <v>46237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46206</v>
      </c>
      <c r="H32" s="19">
        <v>46178</v>
      </c>
      <c r="I32" s="20">
        <v>46178</v>
      </c>
      <c r="J32" s="55">
        <v>46209</v>
      </c>
      <c r="K32" s="54">
        <v>46209</v>
      </c>
      <c r="L32" s="56">
        <v>31</v>
      </c>
      <c r="M32" s="19">
        <v>46209</v>
      </c>
      <c r="N32" s="23">
        <v>46209</v>
      </c>
      <c r="O32" s="19">
        <v>46209</v>
      </c>
      <c r="P32" s="23">
        <v>46209</v>
      </c>
      <c r="Q32" s="19">
        <v>46209</v>
      </c>
      <c r="R32" s="20">
        <v>46209</v>
      </c>
      <c r="S32" s="19">
        <v>46209</v>
      </c>
      <c r="T32" s="20">
        <v>46209</v>
      </c>
      <c r="U32" s="19">
        <v>46209</v>
      </c>
      <c r="V32" s="20">
        <v>46209</v>
      </c>
      <c r="W32" s="19">
        <v>46209</v>
      </c>
      <c r="X32" s="20">
        <v>46209</v>
      </c>
      <c r="Y32" s="19">
        <v>46209</v>
      </c>
      <c r="Z32" s="23">
        <v>46209</v>
      </c>
      <c r="AA32" s="19">
        <v>46234</v>
      </c>
      <c r="AB32" s="20">
        <v>46234</v>
      </c>
      <c r="AC32" s="19">
        <v>46237</v>
      </c>
      <c r="AD32" s="20">
        <v>46237</v>
      </c>
      <c r="AE32" s="19">
        <v>46237</v>
      </c>
      <c r="AF32" s="20">
        <v>46237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46206</v>
      </c>
      <c r="H33" s="19">
        <v>46178</v>
      </c>
      <c r="I33" s="20">
        <v>46178</v>
      </c>
      <c r="J33" s="55">
        <v>46209</v>
      </c>
      <c r="K33" s="54">
        <v>46209</v>
      </c>
      <c r="L33" s="56">
        <v>31</v>
      </c>
      <c r="M33" s="19">
        <v>46209</v>
      </c>
      <c r="N33" s="23">
        <v>46209</v>
      </c>
      <c r="O33" s="19">
        <v>46209</v>
      </c>
      <c r="P33" s="23">
        <v>46209</v>
      </c>
      <c r="Q33" s="19">
        <v>46209</v>
      </c>
      <c r="R33" s="20">
        <v>46209</v>
      </c>
      <c r="S33" s="19">
        <v>46209</v>
      </c>
      <c r="T33" s="20">
        <v>46209</v>
      </c>
      <c r="U33" s="19">
        <v>46209</v>
      </c>
      <c r="V33" s="20">
        <v>46209</v>
      </c>
      <c r="W33" s="19">
        <v>46209</v>
      </c>
      <c r="X33" s="20">
        <v>46209</v>
      </c>
      <c r="Y33" s="19">
        <v>46209</v>
      </c>
      <c r="Z33" s="23">
        <v>46209</v>
      </c>
      <c r="AA33" s="19">
        <v>46234</v>
      </c>
      <c r="AB33" s="20">
        <v>46234</v>
      </c>
      <c r="AC33" s="19">
        <v>46237</v>
      </c>
      <c r="AD33" s="20">
        <v>46237</v>
      </c>
      <c r="AE33" s="19">
        <v>46237</v>
      </c>
      <c r="AF33" s="20">
        <v>46237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46212</v>
      </c>
      <c r="H34" s="19">
        <v>46183</v>
      </c>
      <c r="I34" s="20">
        <v>46183</v>
      </c>
      <c r="J34" s="55">
        <v>46213</v>
      </c>
      <c r="K34" s="54">
        <v>46213</v>
      </c>
      <c r="L34" s="22">
        <v>30</v>
      </c>
      <c r="M34" s="19">
        <v>46213</v>
      </c>
      <c r="N34" s="23">
        <v>46213</v>
      </c>
      <c r="O34" s="19">
        <v>46213</v>
      </c>
      <c r="P34" s="23">
        <v>46213</v>
      </c>
      <c r="Q34" s="19">
        <v>46213</v>
      </c>
      <c r="R34" s="20">
        <v>46213</v>
      </c>
      <c r="S34" s="19">
        <v>46213</v>
      </c>
      <c r="T34" s="20">
        <v>46213</v>
      </c>
      <c r="U34" s="19">
        <v>46213</v>
      </c>
      <c r="V34" s="20">
        <v>46213</v>
      </c>
      <c r="W34" s="19">
        <v>46213</v>
      </c>
      <c r="X34" s="20">
        <v>46213</v>
      </c>
      <c r="Y34" s="19">
        <v>46213</v>
      </c>
      <c r="Z34" s="23">
        <v>46213</v>
      </c>
      <c r="AA34" s="19">
        <v>46224</v>
      </c>
      <c r="AB34" s="20">
        <v>46224</v>
      </c>
      <c r="AC34" s="19">
        <v>46225</v>
      </c>
      <c r="AD34" s="20">
        <v>46225</v>
      </c>
      <c r="AE34" s="19">
        <v>46225</v>
      </c>
      <c r="AF34" s="20">
        <v>46225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46212</v>
      </c>
      <c r="H35" s="19">
        <v>46183</v>
      </c>
      <c r="I35" s="20">
        <v>46183</v>
      </c>
      <c r="J35" s="55">
        <v>46213</v>
      </c>
      <c r="K35" s="54">
        <v>46213</v>
      </c>
      <c r="L35" s="22">
        <v>30</v>
      </c>
      <c r="M35" s="19">
        <v>46213</v>
      </c>
      <c r="N35" s="23">
        <v>46213</v>
      </c>
      <c r="O35" s="19">
        <v>46213</v>
      </c>
      <c r="P35" s="23">
        <v>46213</v>
      </c>
      <c r="Q35" s="19">
        <v>46213</v>
      </c>
      <c r="R35" s="20">
        <v>46213</v>
      </c>
      <c r="S35" s="19">
        <v>46213</v>
      </c>
      <c r="T35" s="20">
        <v>46213</v>
      </c>
      <c r="U35" s="19">
        <v>46213</v>
      </c>
      <c r="V35" s="20">
        <v>46213</v>
      </c>
      <c r="W35" s="19">
        <v>46213</v>
      </c>
      <c r="X35" s="20">
        <v>46213</v>
      </c>
      <c r="Y35" s="19">
        <v>46213</v>
      </c>
      <c r="Z35" s="23">
        <v>46213</v>
      </c>
      <c r="AA35" s="19">
        <v>46224</v>
      </c>
      <c r="AB35" s="20">
        <v>46224</v>
      </c>
      <c r="AC35" s="19">
        <v>46225</v>
      </c>
      <c r="AD35" s="20">
        <v>46225</v>
      </c>
      <c r="AE35" s="19">
        <v>46225</v>
      </c>
      <c r="AF35" s="20">
        <v>46225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46217</v>
      </c>
      <c r="H36" s="19">
        <v>46185</v>
      </c>
      <c r="I36" s="20">
        <v>46185</v>
      </c>
      <c r="J36" s="55">
        <v>46218</v>
      </c>
      <c r="K36" s="54">
        <v>46218</v>
      </c>
      <c r="L36" s="22">
        <v>33</v>
      </c>
      <c r="M36" s="19">
        <v>46218</v>
      </c>
      <c r="N36" s="23">
        <v>46218</v>
      </c>
      <c r="O36" s="19">
        <v>46218</v>
      </c>
      <c r="P36" s="23">
        <v>46218</v>
      </c>
      <c r="Q36" s="19">
        <v>46218</v>
      </c>
      <c r="R36" s="20">
        <v>46218</v>
      </c>
      <c r="S36" s="19">
        <v>46218</v>
      </c>
      <c r="T36" s="20">
        <v>46218</v>
      </c>
      <c r="U36" s="19">
        <v>46218</v>
      </c>
      <c r="V36" s="20">
        <v>46218</v>
      </c>
      <c r="W36" s="19">
        <v>46218</v>
      </c>
      <c r="X36" s="20">
        <v>46218</v>
      </c>
      <c r="Y36" s="19">
        <v>46218</v>
      </c>
      <c r="Z36" s="23">
        <v>46218</v>
      </c>
      <c r="AA36" s="19">
        <v>46246</v>
      </c>
      <c r="AB36" s="20">
        <v>46246</v>
      </c>
      <c r="AC36" s="19">
        <v>46247</v>
      </c>
      <c r="AD36" s="20">
        <v>46247</v>
      </c>
      <c r="AE36" s="19">
        <v>46247</v>
      </c>
      <c r="AF36" s="20">
        <v>46247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46217</v>
      </c>
      <c r="H37" s="19">
        <v>46185</v>
      </c>
      <c r="I37" s="20">
        <v>46185</v>
      </c>
      <c r="J37" s="55">
        <v>46218</v>
      </c>
      <c r="K37" s="54">
        <v>46218</v>
      </c>
      <c r="L37" s="22">
        <v>33</v>
      </c>
      <c r="M37" s="19">
        <v>46218</v>
      </c>
      <c r="N37" s="23">
        <v>46218</v>
      </c>
      <c r="O37" s="19">
        <v>46218</v>
      </c>
      <c r="P37" s="23">
        <v>46218</v>
      </c>
      <c r="Q37" s="19">
        <v>46218</v>
      </c>
      <c r="R37" s="20">
        <v>46218</v>
      </c>
      <c r="S37" s="19">
        <v>46218</v>
      </c>
      <c r="T37" s="20">
        <v>46218</v>
      </c>
      <c r="U37" s="19">
        <v>46218</v>
      </c>
      <c r="V37" s="20">
        <v>46218</v>
      </c>
      <c r="W37" s="19">
        <v>46218</v>
      </c>
      <c r="X37" s="20">
        <v>46218</v>
      </c>
      <c r="Y37" s="19">
        <v>46218</v>
      </c>
      <c r="Z37" s="23">
        <v>46218</v>
      </c>
      <c r="AA37" s="19">
        <v>46246</v>
      </c>
      <c r="AB37" s="20">
        <v>46246</v>
      </c>
      <c r="AC37" s="19">
        <v>46247</v>
      </c>
      <c r="AD37" s="20">
        <v>46247</v>
      </c>
      <c r="AE37" s="19">
        <v>46247</v>
      </c>
      <c r="AF37" s="20">
        <v>46247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46217</v>
      </c>
      <c r="H38" s="19">
        <v>46189</v>
      </c>
      <c r="I38" s="20">
        <v>46189</v>
      </c>
      <c r="J38" s="55">
        <v>46218</v>
      </c>
      <c r="K38" s="54">
        <v>46218</v>
      </c>
      <c r="L38" s="22">
        <v>29</v>
      </c>
      <c r="M38" s="19">
        <v>46218</v>
      </c>
      <c r="N38" s="23">
        <v>46218</v>
      </c>
      <c r="O38" s="19">
        <v>46218</v>
      </c>
      <c r="P38" s="23">
        <v>46218</v>
      </c>
      <c r="Q38" s="19">
        <v>46218</v>
      </c>
      <c r="R38" s="20">
        <v>46218</v>
      </c>
      <c r="S38" s="19">
        <v>46218</v>
      </c>
      <c r="T38" s="20">
        <v>46218</v>
      </c>
      <c r="U38" s="19">
        <v>46218</v>
      </c>
      <c r="V38" s="20">
        <v>46218</v>
      </c>
      <c r="W38" s="19">
        <v>46218</v>
      </c>
      <c r="X38" s="20">
        <v>46218</v>
      </c>
      <c r="Y38" s="19">
        <v>46218</v>
      </c>
      <c r="Z38" s="23">
        <v>46218</v>
      </c>
      <c r="AA38" s="19">
        <v>46226</v>
      </c>
      <c r="AB38" s="20">
        <v>46226</v>
      </c>
      <c r="AC38" s="19">
        <v>46227</v>
      </c>
      <c r="AD38" s="20">
        <v>46227</v>
      </c>
      <c r="AE38" s="19">
        <v>46227</v>
      </c>
      <c r="AF38" s="20">
        <v>46227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46217</v>
      </c>
      <c r="H39" s="19">
        <v>46185</v>
      </c>
      <c r="I39" s="20">
        <v>46185</v>
      </c>
      <c r="J39" s="55">
        <v>46218</v>
      </c>
      <c r="K39" s="54">
        <v>46218</v>
      </c>
      <c r="L39" s="22">
        <v>33</v>
      </c>
      <c r="M39" s="19">
        <v>46218</v>
      </c>
      <c r="N39" s="23">
        <v>46218</v>
      </c>
      <c r="O39" s="19">
        <v>46218</v>
      </c>
      <c r="P39" s="23">
        <v>46218</v>
      </c>
      <c r="Q39" s="19">
        <v>46218</v>
      </c>
      <c r="R39" s="20">
        <v>46218</v>
      </c>
      <c r="S39" s="19">
        <v>46218</v>
      </c>
      <c r="T39" s="20">
        <v>46218</v>
      </c>
      <c r="U39" s="19">
        <v>46218</v>
      </c>
      <c r="V39" s="20">
        <v>46218</v>
      </c>
      <c r="W39" s="19">
        <v>46218</v>
      </c>
      <c r="X39" s="20">
        <v>46218</v>
      </c>
      <c r="Y39" s="19">
        <v>46218</v>
      </c>
      <c r="Z39" s="23">
        <v>46218</v>
      </c>
      <c r="AA39" s="19">
        <v>46244</v>
      </c>
      <c r="AB39" s="20">
        <v>46244</v>
      </c>
      <c r="AC39" s="19">
        <v>46245</v>
      </c>
      <c r="AD39" s="20">
        <v>46245</v>
      </c>
      <c r="AE39" s="19">
        <v>46245</v>
      </c>
      <c r="AF39" s="20">
        <v>46245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46218</v>
      </c>
      <c r="H40" s="19">
        <v>46189</v>
      </c>
      <c r="I40" s="20">
        <v>46189</v>
      </c>
      <c r="J40" s="55">
        <v>46219</v>
      </c>
      <c r="K40" s="54">
        <v>46219</v>
      </c>
      <c r="L40" s="22">
        <v>30</v>
      </c>
      <c r="M40" s="19">
        <v>46219</v>
      </c>
      <c r="N40" s="23">
        <v>46219</v>
      </c>
      <c r="O40" s="19">
        <v>46219</v>
      </c>
      <c r="P40" s="23">
        <v>46219</v>
      </c>
      <c r="Q40" s="19">
        <v>46219</v>
      </c>
      <c r="R40" s="20">
        <v>46219</v>
      </c>
      <c r="S40" s="19">
        <v>46219</v>
      </c>
      <c r="T40" s="20">
        <v>46219</v>
      </c>
      <c r="U40" s="19">
        <v>46219</v>
      </c>
      <c r="V40" s="20">
        <v>46219</v>
      </c>
      <c r="W40" s="19">
        <v>46219</v>
      </c>
      <c r="X40" s="20">
        <v>46219</v>
      </c>
      <c r="Y40" s="19">
        <v>46219</v>
      </c>
      <c r="Z40" s="23">
        <v>46219</v>
      </c>
      <c r="AA40" s="19">
        <v>46244</v>
      </c>
      <c r="AB40" s="20">
        <v>46244</v>
      </c>
      <c r="AC40" s="19">
        <v>46245</v>
      </c>
      <c r="AD40" s="20">
        <v>46245</v>
      </c>
      <c r="AE40" s="19">
        <v>46245</v>
      </c>
      <c r="AF40" s="20">
        <v>46245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69</v>
      </c>
      <c r="E41" s="32" t="s">
        <v>63</v>
      </c>
      <c r="F41" s="25" t="s">
        <v>28</v>
      </c>
      <c r="G41" s="18">
        <v>46220</v>
      </c>
      <c r="H41" s="19">
        <v>46192</v>
      </c>
      <c r="I41" s="20">
        <v>46192</v>
      </c>
      <c r="J41" s="65">
        <v>46224</v>
      </c>
      <c r="K41" s="54">
        <v>46224</v>
      </c>
      <c r="L41" s="22">
        <v>32</v>
      </c>
      <c r="M41" s="19">
        <v>46224</v>
      </c>
      <c r="N41" s="23">
        <v>46224</v>
      </c>
      <c r="O41" s="19">
        <v>46224</v>
      </c>
      <c r="P41" s="23">
        <v>46224</v>
      </c>
      <c r="Q41" s="19">
        <v>46224</v>
      </c>
      <c r="R41" s="20">
        <v>46224</v>
      </c>
      <c r="S41" s="19">
        <v>46224</v>
      </c>
      <c r="T41" s="20">
        <v>46224</v>
      </c>
      <c r="U41" s="19">
        <v>46224</v>
      </c>
      <c r="V41" s="20">
        <v>46224</v>
      </c>
      <c r="W41" s="19">
        <v>46224</v>
      </c>
      <c r="X41" s="20">
        <v>46224</v>
      </c>
      <c r="Y41" s="19">
        <v>46224</v>
      </c>
      <c r="Z41" s="23">
        <v>46224</v>
      </c>
      <c r="AA41" s="19">
        <v>46252</v>
      </c>
      <c r="AB41" s="20">
        <v>46252</v>
      </c>
      <c r="AC41" s="19">
        <v>46253</v>
      </c>
      <c r="AD41" s="20">
        <v>46253</v>
      </c>
      <c r="AE41" s="19">
        <v>46253</v>
      </c>
      <c r="AF41" s="20">
        <v>46253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46226</v>
      </c>
      <c r="H42" s="19">
        <v>46198</v>
      </c>
      <c r="I42" s="20">
        <v>46198</v>
      </c>
      <c r="J42" s="55">
        <v>46227</v>
      </c>
      <c r="K42" s="54">
        <v>46227</v>
      </c>
      <c r="L42" s="22">
        <v>29</v>
      </c>
      <c r="M42" s="19">
        <v>46227</v>
      </c>
      <c r="N42" s="23">
        <v>46227</v>
      </c>
      <c r="O42" s="19">
        <v>46227</v>
      </c>
      <c r="P42" s="23">
        <v>46227</v>
      </c>
      <c r="Q42" s="19">
        <v>46227</v>
      </c>
      <c r="R42" s="20">
        <v>46227</v>
      </c>
      <c r="S42" s="19">
        <v>46227</v>
      </c>
      <c r="T42" s="20">
        <v>46227</v>
      </c>
      <c r="U42" s="19">
        <v>46227</v>
      </c>
      <c r="V42" s="20">
        <v>46227</v>
      </c>
      <c r="W42" s="19">
        <v>46227</v>
      </c>
      <c r="X42" s="20">
        <v>46227</v>
      </c>
      <c r="Y42" s="19">
        <v>46227</v>
      </c>
      <c r="Z42" s="23">
        <v>46227</v>
      </c>
      <c r="AA42" s="19">
        <v>46252</v>
      </c>
      <c r="AB42" s="20">
        <v>46252</v>
      </c>
      <c r="AC42" s="19">
        <v>46253</v>
      </c>
      <c r="AD42" s="20">
        <v>46253</v>
      </c>
      <c r="AE42" s="19">
        <v>46253</v>
      </c>
      <c r="AF42" s="20">
        <v>46253</v>
      </c>
    </row>
    <row r="43" spans="2:32" s="1" customFormat="1" ht="15.95" customHeight="1" x14ac:dyDescent="0.25">
      <c r="B43" s="29">
        <v>79</v>
      </c>
      <c r="C43" s="31">
        <v>12</v>
      </c>
      <c r="D43" s="31" t="s">
        <v>47</v>
      </c>
      <c r="E43" s="32" t="s">
        <v>64</v>
      </c>
      <c r="F43" s="25" t="s">
        <v>28</v>
      </c>
      <c r="G43" s="18">
        <v>46226</v>
      </c>
      <c r="H43" s="19">
        <v>46198</v>
      </c>
      <c r="I43" s="20">
        <v>46198</v>
      </c>
      <c r="J43" s="55">
        <v>46227</v>
      </c>
      <c r="K43" s="54">
        <v>46227</v>
      </c>
      <c r="L43" s="22">
        <v>29</v>
      </c>
      <c r="M43" s="19">
        <v>46227</v>
      </c>
      <c r="N43" s="23">
        <v>46227</v>
      </c>
      <c r="O43" s="19">
        <v>46227</v>
      </c>
      <c r="P43" s="23">
        <v>46227</v>
      </c>
      <c r="Q43" s="19">
        <v>46227</v>
      </c>
      <c r="R43" s="20">
        <v>46227</v>
      </c>
      <c r="S43" s="19">
        <v>46227</v>
      </c>
      <c r="T43" s="20">
        <v>46227</v>
      </c>
      <c r="U43" s="19">
        <v>46227</v>
      </c>
      <c r="V43" s="20">
        <v>46227</v>
      </c>
      <c r="W43" s="19">
        <v>46227</v>
      </c>
      <c r="X43" s="20">
        <v>46227</v>
      </c>
      <c r="Y43" s="19">
        <v>46227</v>
      </c>
      <c r="Z43" s="23">
        <v>46227</v>
      </c>
      <c r="AA43" s="19">
        <v>46252</v>
      </c>
      <c r="AB43" s="20">
        <v>46252</v>
      </c>
      <c r="AC43" s="19">
        <v>46253</v>
      </c>
      <c r="AD43" s="20">
        <v>46253</v>
      </c>
      <c r="AE43" s="19">
        <v>46253</v>
      </c>
      <c r="AF43" s="20">
        <v>46253</v>
      </c>
    </row>
    <row r="44" spans="2:32" s="1" customFormat="1" ht="15.95" customHeight="1" x14ac:dyDescent="0.25">
      <c r="B44" s="29">
        <v>79</v>
      </c>
      <c r="C44" s="31">
        <v>13</v>
      </c>
      <c r="D44" s="31" t="s">
        <v>47</v>
      </c>
      <c r="E44" s="32" t="s">
        <v>64</v>
      </c>
      <c r="F44" s="25" t="s">
        <v>28</v>
      </c>
      <c r="G44" s="18">
        <v>46226</v>
      </c>
      <c r="H44" s="19">
        <v>46198</v>
      </c>
      <c r="I44" s="20">
        <v>46198</v>
      </c>
      <c r="J44" s="55">
        <v>46227</v>
      </c>
      <c r="K44" s="54">
        <v>46227</v>
      </c>
      <c r="L44" s="22">
        <v>29</v>
      </c>
      <c r="M44" s="19">
        <v>46227</v>
      </c>
      <c r="N44" s="23">
        <v>46227</v>
      </c>
      <c r="O44" s="19">
        <v>46227</v>
      </c>
      <c r="P44" s="23">
        <v>46227</v>
      </c>
      <c r="Q44" s="19">
        <v>46227</v>
      </c>
      <c r="R44" s="20">
        <v>46227</v>
      </c>
      <c r="S44" s="19">
        <v>46227</v>
      </c>
      <c r="T44" s="20">
        <v>46227</v>
      </c>
      <c r="U44" s="19">
        <v>46227</v>
      </c>
      <c r="V44" s="20">
        <v>46227</v>
      </c>
      <c r="W44" s="19">
        <v>46227</v>
      </c>
      <c r="X44" s="20">
        <v>46227</v>
      </c>
      <c r="Y44" s="19">
        <v>46227</v>
      </c>
      <c r="Z44" s="23">
        <v>46227</v>
      </c>
      <c r="AA44" s="19">
        <v>46252</v>
      </c>
      <c r="AB44" s="20">
        <v>46252</v>
      </c>
      <c r="AC44" s="19">
        <v>46253</v>
      </c>
      <c r="AD44" s="20">
        <v>46253</v>
      </c>
      <c r="AE44" s="19">
        <v>46253</v>
      </c>
      <c r="AF44" s="20">
        <v>46253</v>
      </c>
    </row>
    <row r="45" spans="2:32" s="1" customFormat="1" ht="15.95" customHeight="1" x14ac:dyDescent="0.25">
      <c r="B45" s="29">
        <v>95</v>
      </c>
      <c r="C45" s="30" t="s">
        <v>46</v>
      </c>
      <c r="D45" s="31" t="s">
        <v>60</v>
      </c>
      <c r="E45" s="32" t="s">
        <v>65</v>
      </c>
      <c r="F45" s="25" t="s">
        <v>28</v>
      </c>
      <c r="G45" s="18">
        <v>46232</v>
      </c>
      <c r="H45" s="19">
        <v>46199</v>
      </c>
      <c r="I45" s="20">
        <v>46199</v>
      </c>
      <c r="J45" s="55">
        <v>46233</v>
      </c>
      <c r="K45" s="54">
        <v>46233</v>
      </c>
      <c r="L45" s="22">
        <v>34</v>
      </c>
      <c r="M45" s="19">
        <v>46233</v>
      </c>
      <c r="N45" s="23">
        <v>46233</v>
      </c>
      <c r="O45" s="19">
        <v>46233</v>
      </c>
      <c r="P45" s="23">
        <v>46233</v>
      </c>
      <c r="Q45" s="19">
        <v>46233</v>
      </c>
      <c r="R45" s="20">
        <v>46233</v>
      </c>
      <c r="S45" s="19">
        <v>46233</v>
      </c>
      <c r="T45" s="20">
        <v>46233</v>
      </c>
      <c r="U45" s="19">
        <v>46233</v>
      </c>
      <c r="V45" s="20">
        <v>46233</v>
      </c>
      <c r="W45" s="19">
        <v>46233</v>
      </c>
      <c r="X45" s="20">
        <v>46233</v>
      </c>
      <c r="Y45" s="19">
        <v>46233</v>
      </c>
      <c r="Z45" s="23">
        <v>46233</v>
      </c>
      <c r="AA45" s="19">
        <v>46252</v>
      </c>
      <c r="AB45" s="20">
        <v>46252</v>
      </c>
      <c r="AC45" s="19">
        <v>46253</v>
      </c>
      <c r="AD45" s="20">
        <v>46253</v>
      </c>
      <c r="AE45" s="19">
        <v>46253</v>
      </c>
      <c r="AF45" s="20">
        <v>46253</v>
      </c>
    </row>
    <row r="46" spans="2:32" s="1" customFormat="1" ht="15.95" customHeight="1" x14ac:dyDescent="0.25">
      <c r="B46" s="29">
        <v>95</v>
      </c>
      <c r="C46" s="30" t="s">
        <v>49</v>
      </c>
      <c r="D46" s="31" t="s">
        <v>60</v>
      </c>
      <c r="E46" s="32" t="s">
        <v>65</v>
      </c>
      <c r="F46" s="25" t="s">
        <v>28</v>
      </c>
      <c r="G46" s="18">
        <v>46232</v>
      </c>
      <c r="H46" s="19">
        <v>46199</v>
      </c>
      <c r="I46" s="20">
        <v>46199</v>
      </c>
      <c r="J46" s="55">
        <v>46233</v>
      </c>
      <c r="K46" s="54">
        <v>46233</v>
      </c>
      <c r="L46" s="22">
        <v>34</v>
      </c>
      <c r="M46" s="19">
        <v>46233</v>
      </c>
      <c r="N46" s="23">
        <v>46233</v>
      </c>
      <c r="O46" s="19">
        <v>46233</v>
      </c>
      <c r="P46" s="23">
        <v>46233</v>
      </c>
      <c r="Q46" s="19">
        <v>46233</v>
      </c>
      <c r="R46" s="20">
        <v>46233</v>
      </c>
      <c r="S46" s="19">
        <v>46233</v>
      </c>
      <c r="T46" s="20">
        <v>46233</v>
      </c>
      <c r="U46" s="19">
        <v>46233</v>
      </c>
      <c r="V46" s="20">
        <v>46233</v>
      </c>
      <c r="W46" s="19">
        <v>46233</v>
      </c>
      <c r="X46" s="20">
        <v>46233</v>
      </c>
      <c r="Y46" s="19">
        <v>46233</v>
      </c>
      <c r="Z46" s="23">
        <v>46233</v>
      </c>
      <c r="AA46" s="19">
        <v>46252</v>
      </c>
      <c r="AB46" s="20">
        <v>46252</v>
      </c>
      <c r="AC46" s="19">
        <v>46253</v>
      </c>
      <c r="AD46" s="20">
        <v>46253</v>
      </c>
      <c r="AE46" s="19">
        <v>46253</v>
      </c>
      <c r="AF46" s="20">
        <v>46253</v>
      </c>
    </row>
    <row r="47" spans="2:32" s="1" customFormat="1" ht="15.95" customHeight="1" x14ac:dyDescent="0.25">
      <c r="B47" s="29">
        <v>95</v>
      </c>
      <c r="C47" s="30" t="s">
        <v>50</v>
      </c>
      <c r="D47" s="31" t="s">
        <v>60</v>
      </c>
      <c r="E47" s="32" t="s">
        <v>65</v>
      </c>
      <c r="F47" s="25" t="s">
        <v>28</v>
      </c>
      <c r="G47" s="18">
        <v>46232</v>
      </c>
      <c r="H47" s="19">
        <v>46199</v>
      </c>
      <c r="I47" s="20">
        <v>46199</v>
      </c>
      <c r="J47" s="55">
        <v>46233</v>
      </c>
      <c r="K47" s="54">
        <v>46233</v>
      </c>
      <c r="L47" s="22">
        <v>34</v>
      </c>
      <c r="M47" s="19">
        <v>46233</v>
      </c>
      <c r="N47" s="23">
        <v>46233</v>
      </c>
      <c r="O47" s="19">
        <v>46233</v>
      </c>
      <c r="P47" s="23">
        <v>46233</v>
      </c>
      <c r="Q47" s="19">
        <v>46233</v>
      </c>
      <c r="R47" s="20">
        <v>46233</v>
      </c>
      <c r="S47" s="19">
        <v>46233</v>
      </c>
      <c r="T47" s="20">
        <v>46233</v>
      </c>
      <c r="U47" s="19">
        <v>46233</v>
      </c>
      <c r="V47" s="20">
        <v>46233</v>
      </c>
      <c r="W47" s="19">
        <v>46233</v>
      </c>
      <c r="X47" s="20">
        <v>46233</v>
      </c>
      <c r="Y47" s="19">
        <v>46233</v>
      </c>
      <c r="Z47" s="23">
        <v>46233</v>
      </c>
      <c r="AA47" s="19">
        <v>46252</v>
      </c>
      <c r="AB47" s="20">
        <v>46252</v>
      </c>
      <c r="AC47" s="19">
        <v>46253</v>
      </c>
      <c r="AD47" s="20">
        <v>46253</v>
      </c>
      <c r="AE47" s="19">
        <v>46253</v>
      </c>
      <c r="AF47" s="20">
        <v>46253</v>
      </c>
    </row>
    <row r="48" spans="2:32" s="1" customFormat="1" ht="15.95" customHeight="1" x14ac:dyDescent="0.25">
      <c r="B48" s="29">
        <v>77</v>
      </c>
      <c r="C48" s="30" t="s">
        <v>46</v>
      </c>
      <c r="D48" s="31" t="s">
        <v>47</v>
      </c>
      <c r="E48" s="32" t="s">
        <v>66</v>
      </c>
      <c r="F48" s="25" t="s">
        <v>28</v>
      </c>
      <c r="G48" s="18">
        <v>46233</v>
      </c>
      <c r="H48" s="19">
        <v>46203</v>
      </c>
      <c r="I48" s="20">
        <v>46203</v>
      </c>
      <c r="J48" s="55">
        <v>46234</v>
      </c>
      <c r="K48" s="54">
        <v>46234</v>
      </c>
      <c r="L48" s="22">
        <v>31</v>
      </c>
      <c r="M48" s="19">
        <v>46234</v>
      </c>
      <c r="N48" s="23">
        <v>46234</v>
      </c>
      <c r="O48" s="19">
        <v>46234</v>
      </c>
      <c r="P48" s="23">
        <v>46234</v>
      </c>
      <c r="Q48" s="19">
        <v>46234</v>
      </c>
      <c r="R48" s="20">
        <v>46234</v>
      </c>
      <c r="S48" s="19">
        <v>46234</v>
      </c>
      <c r="T48" s="20">
        <v>46234</v>
      </c>
      <c r="U48" s="19">
        <v>46234</v>
      </c>
      <c r="V48" s="20">
        <v>46234</v>
      </c>
      <c r="W48" s="19">
        <v>46234</v>
      </c>
      <c r="X48" s="20">
        <v>46234</v>
      </c>
      <c r="Y48" s="19">
        <v>46234</v>
      </c>
      <c r="Z48" s="23">
        <v>46234</v>
      </c>
      <c r="AA48" s="19">
        <v>46252</v>
      </c>
      <c r="AB48" s="20">
        <v>46252</v>
      </c>
      <c r="AC48" s="19">
        <v>46253</v>
      </c>
      <c r="AD48" s="20">
        <v>46253</v>
      </c>
      <c r="AE48" s="19">
        <v>46253</v>
      </c>
      <c r="AF48" s="20">
        <v>46253</v>
      </c>
    </row>
    <row r="49" spans="2:32" s="1" customFormat="1" ht="15.95" customHeight="1" x14ac:dyDescent="0.25">
      <c r="B49" s="29">
        <v>77</v>
      </c>
      <c r="C49" s="30" t="s">
        <v>49</v>
      </c>
      <c r="D49" s="31" t="s">
        <v>47</v>
      </c>
      <c r="E49" s="32" t="s">
        <v>66</v>
      </c>
      <c r="F49" s="25" t="s">
        <v>28</v>
      </c>
      <c r="G49" s="18">
        <v>46233</v>
      </c>
      <c r="H49" s="19">
        <v>46203</v>
      </c>
      <c r="I49" s="20">
        <v>46203</v>
      </c>
      <c r="J49" s="55">
        <v>46234</v>
      </c>
      <c r="K49" s="54">
        <v>46234</v>
      </c>
      <c r="L49" s="22">
        <v>31</v>
      </c>
      <c r="M49" s="19">
        <v>46234</v>
      </c>
      <c r="N49" s="23">
        <v>46234</v>
      </c>
      <c r="O49" s="19">
        <v>46234</v>
      </c>
      <c r="P49" s="23">
        <v>46234</v>
      </c>
      <c r="Q49" s="19">
        <v>46234</v>
      </c>
      <c r="R49" s="20">
        <v>46234</v>
      </c>
      <c r="S49" s="19">
        <v>46234</v>
      </c>
      <c r="T49" s="20">
        <v>46234</v>
      </c>
      <c r="U49" s="19">
        <v>46234</v>
      </c>
      <c r="V49" s="20">
        <v>46234</v>
      </c>
      <c r="W49" s="19">
        <v>46234</v>
      </c>
      <c r="X49" s="20">
        <v>46234</v>
      </c>
      <c r="Y49" s="19">
        <v>46234</v>
      </c>
      <c r="Z49" s="23">
        <v>46234</v>
      </c>
      <c r="AA49" s="19">
        <v>46252</v>
      </c>
      <c r="AB49" s="20">
        <v>46252</v>
      </c>
      <c r="AC49" s="19">
        <v>46253</v>
      </c>
      <c r="AD49" s="20">
        <v>46253</v>
      </c>
      <c r="AE49" s="19">
        <v>46253</v>
      </c>
      <c r="AF49" s="20">
        <v>46253</v>
      </c>
    </row>
    <row r="50" spans="2:32" s="1" customFormat="1" ht="15.95" customHeight="1" x14ac:dyDescent="0.25">
      <c r="B50" s="29">
        <v>77</v>
      </c>
      <c r="C50" s="30" t="s">
        <v>50</v>
      </c>
      <c r="D50" s="31" t="s">
        <v>47</v>
      </c>
      <c r="E50" s="32" t="s">
        <v>66</v>
      </c>
      <c r="F50" s="25" t="s">
        <v>28</v>
      </c>
      <c r="G50" s="18">
        <v>46233</v>
      </c>
      <c r="H50" s="19">
        <v>46203</v>
      </c>
      <c r="I50" s="20">
        <v>46203</v>
      </c>
      <c r="J50" s="55">
        <v>46234</v>
      </c>
      <c r="K50" s="54">
        <v>46234</v>
      </c>
      <c r="L50" s="22">
        <v>31</v>
      </c>
      <c r="M50" s="19">
        <v>46234</v>
      </c>
      <c r="N50" s="23">
        <v>46234</v>
      </c>
      <c r="O50" s="19">
        <v>46234</v>
      </c>
      <c r="P50" s="23">
        <v>46234</v>
      </c>
      <c r="Q50" s="19">
        <v>46234</v>
      </c>
      <c r="R50" s="20">
        <v>46234</v>
      </c>
      <c r="S50" s="19">
        <v>46234</v>
      </c>
      <c r="T50" s="20">
        <v>46234</v>
      </c>
      <c r="U50" s="19">
        <v>46234</v>
      </c>
      <c r="V50" s="20">
        <v>46234</v>
      </c>
      <c r="W50" s="19">
        <v>46234</v>
      </c>
      <c r="X50" s="20">
        <v>46234</v>
      </c>
      <c r="Y50" s="19">
        <v>46234</v>
      </c>
      <c r="Z50" s="23">
        <v>46234</v>
      </c>
      <c r="AA50" s="19">
        <v>46252</v>
      </c>
      <c r="AB50" s="20">
        <v>46252</v>
      </c>
      <c r="AC50" s="19">
        <v>46253</v>
      </c>
      <c r="AD50" s="20">
        <v>46253</v>
      </c>
      <c r="AE50" s="19">
        <v>46253</v>
      </c>
      <c r="AF50" s="20">
        <v>46253</v>
      </c>
    </row>
    <row r="51" spans="2:32" s="1" customFormat="1" ht="15.95" customHeight="1" x14ac:dyDescent="0.25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s="1" customFormat="1" ht="15.95" customHeight="1" thickBot="1" x14ac:dyDescent="0.3">
      <c r="B52" s="33"/>
      <c r="C52" s="33"/>
      <c r="D52" s="33"/>
      <c r="E52" s="33"/>
      <c r="F52" s="34"/>
      <c r="G52" s="34"/>
      <c r="H52" s="35"/>
      <c r="I52" s="36"/>
      <c r="J52" s="63"/>
      <c r="K52" s="64"/>
      <c r="L52" s="37"/>
      <c r="M52" s="35"/>
      <c r="N52" s="36"/>
      <c r="O52" s="64"/>
      <c r="P52" s="64"/>
      <c r="Q52" s="36"/>
      <c r="R52" s="36"/>
      <c r="S52" s="35"/>
      <c r="T52" s="36"/>
      <c r="U52" s="35"/>
      <c r="V52" s="36"/>
      <c r="W52" s="35"/>
      <c r="X52" s="36"/>
      <c r="Y52" s="63"/>
      <c r="Z52" s="64"/>
      <c r="AA52" s="35"/>
      <c r="AB52" s="36"/>
      <c r="AC52" s="35"/>
      <c r="AD52" s="36"/>
      <c r="AE52" s="35"/>
      <c r="AF52" s="36"/>
    </row>
    <row r="53" spans="2:32" ht="15.75" hidden="1" thickBot="1" x14ac:dyDescent="0.3"/>
    <row r="54" spans="2:32" ht="15.75" hidden="1" thickBot="1" x14ac:dyDescent="0.3"/>
    <row r="55" spans="2:32" ht="30" customHeight="1" thickBot="1" x14ac:dyDescent="0.3">
      <c r="B55" s="72" t="s">
        <v>88</v>
      </c>
      <c r="C55" s="73"/>
      <c r="D55" s="73"/>
      <c r="E55" s="74"/>
      <c r="F55" s="74"/>
      <c r="G55" s="74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6"/>
    </row>
    <row r="56" spans="2:32" ht="60.6" customHeight="1" thickTop="1" thickBot="1" x14ac:dyDescent="0.3">
      <c r="B56" s="77"/>
      <c r="C56" s="78"/>
      <c r="D56" s="78"/>
      <c r="E56" s="78"/>
      <c r="F56" s="78"/>
      <c r="G56" s="78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80"/>
    </row>
    <row r="57" spans="2:32" x14ac:dyDescent="0.25"/>
    <row r="58" spans="2:32" x14ac:dyDescent="0.25"/>
    <row r="59" spans="2:32" x14ac:dyDescent="0.25"/>
    <row r="60" spans="2:32" x14ac:dyDescent="0.25"/>
    <row r="61" spans="2:32" x14ac:dyDescent="0.25"/>
    <row r="62" spans="2:32" x14ac:dyDescent="0.25"/>
    <row r="63" spans="2:32" x14ac:dyDescent="0.25"/>
    <row r="64" spans="2:32" x14ac:dyDescent="0.25"/>
    <row r="65" x14ac:dyDescent="0.25"/>
    <row r="66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5:AF56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2">
    <cfRule type="expression" dxfId="19" priority="1" stopIfTrue="1">
      <formula>IF(H7="",TRUE,FALSE)</formula>
    </cfRule>
  </conditionalFormatting>
  <conditionalFormatting sqref="L7:L52 P51:Q52">
    <cfRule type="expression" dxfId="18" priority="7" stopIfTrue="1">
      <formula>IF(J7="",TRUE,FALSE)</formula>
    </cfRule>
  </conditionalFormatting>
  <conditionalFormatting sqref="L7:L52">
    <cfRule type="expression" dxfId="17" priority="6" stopIfTrue="1">
      <formula>IF(F7="Mensual",OR(L7&gt;32,L7&lt;28), IF(F7="Bimestral",OR(L7&gt;62,L7&lt;58),IF(F7="Trimestral",OR(L7&gt;96,L7&lt;84),FALSE)))</formula>
    </cfRule>
  </conditionalFormatting>
  <conditionalFormatting sqref="N7:N50 P7:P50 R7:R50 K7:K52 T7:T52 V7:V52 X7:X52 Z7:Z52 AB7:AB52 AD7:AD52 AF7:AF52 N51:O52">
    <cfRule type="expression" dxfId="16" priority="8" stopIfTrue="1">
      <formula>IF(J7="",TRUE,FALSE)</formula>
    </cfRule>
  </conditionalFormatting>
  <conditionalFormatting sqref="R51:R52">
    <cfRule type="expression" dxfId="15" priority="9" stopIfTrue="1">
      <formula>IF(O51="",TRUE,FALSE)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869DF-98A1-4F9F-9B0D-D145234D9A29}">
  <dimension ref="B1:AL69"/>
  <sheetViews>
    <sheetView zoomScale="70" zoomScaleNormal="70" workbookViewId="0">
      <selection activeCell="M18" sqref="M18"/>
    </sheetView>
  </sheetViews>
  <sheetFormatPr baseColWidth="10" defaultColWidth="0" defaultRowHeight="12.75" customHeight="1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89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70</v>
      </c>
      <c r="E7" s="50" t="s">
        <v>27</v>
      </c>
      <c r="F7" s="51" t="s">
        <v>28</v>
      </c>
      <c r="G7" s="52">
        <f>WORKDAY(J7,-1,[1]Hoja1!$A$1:$A$72)+1</f>
        <v>46235</v>
      </c>
      <c r="H7" s="53">
        <v>46206</v>
      </c>
      <c r="I7" s="54">
        <v>46206</v>
      </c>
      <c r="J7" s="65">
        <v>46237</v>
      </c>
      <c r="K7" s="54">
        <f t="shared" ref="K7:K47" si="0">+J7</f>
        <v>46237</v>
      </c>
      <c r="L7" s="56">
        <f t="shared" ref="L7:L47" si="1">(J7-H7)</f>
        <v>31</v>
      </c>
      <c r="M7" s="53">
        <f>WORKDAY(J7,1,[1]Hoja1!$A$1:$A$72)</f>
        <v>46238</v>
      </c>
      <c r="N7" s="57">
        <f t="shared" ref="N7:N47" si="2">+M7</f>
        <v>46238</v>
      </c>
      <c r="O7" s="66">
        <v>46239</v>
      </c>
      <c r="P7" s="54">
        <f t="shared" ref="P7:P47" si="3">+O7</f>
        <v>46239</v>
      </c>
      <c r="Q7" s="53">
        <f t="shared" ref="Q7:Q14" si="4">+O7</f>
        <v>46239</v>
      </c>
      <c r="R7" s="54">
        <f>+Q7</f>
        <v>46239</v>
      </c>
      <c r="S7" s="53">
        <f>WORKDAY(Q7,1,[1]Hoja1!$A$1:$A$72)</f>
        <v>46240</v>
      </c>
      <c r="T7" s="57">
        <f>+S7</f>
        <v>46240</v>
      </c>
      <c r="U7" s="53">
        <f>+S7</f>
        <v>46240</v>
      </c>
      <c r="V7" s="57">
        <f>+U7</f>
        <v>46240</v>
      </c>
      <c r="W7" s="53">
        <f>+U7</f>
        <v>46240</v>
      </c>
      <c r="X7" s="57">
        <f>+W7</f>
        <v>46240</v>
      </c>
      <c r="Y7" s="66">
        <v>46245</v>
      </c>
      <c r="Z7" s="57">
        <f t="shared" ref="Z7:Z30" si="5">+Y7</f>
        <v>46245</v>
      </c>
      <c r="AA7" s="53">
        <f>WORKDAY(Y7,8,[1]Hoja1!$A$1:$A$72)</f>
        <v>46258</v>
      </c>
      <c r="AB7" s="57">
        <f t="shared" ref="AB7:AB28" si="6">AA7</f>
        <v>46258</v>
      </c>
      <c r="AC7" s="53">
        <f>WORKDAY(AA7,1,[1]Hoja1!$A$1:$A$72)</f>
        <v>46259</v>
      </c>
      <c r="AD7" s="54">
        <f t="shared" ref="AD7:AD28" si="7">+AC7</f>
        <v>46259</v>
      </c>
      <c r="AE7" s="53">
        <f t="shared" ref="AE7:AE28" si="8">+AC7</f>
        <v>46259</v>
      </c>
      <c r="AF7" s="54">
        <f t="shared" ref="AF7:AF28" si="9">+AE7</f>
        <v>46259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82</v>
      </c>
      <c r="E8" s="50" t="s">
        <v>33</v>
      </c>
      <c r="F8" s="59" t="s">
        <v>28</v>
      </c>
      <c r="G8" s="52">
        <f>WORKDAY(J8,-1,[1]Hoja1!$A$1:$A$72)</f>
        <v>46237</v>
      </c>
      <c r="H8" s="55">
        <v>46207</v>
      </c>
      <c r="I8" s="54">
        <v>46207</v>
      </c>
      <c r="J8" s="65">
        <v>46238</v>
      </c>
      <c r="K8" s="54">
        <f t="shared" si="0"/>
        <v>46238</v>
      </c>
      <c r="L8" s="56">
        <f t="shared" si="1"/>
        <v>31</v>
      </c>
      <c r="M8" s="53">
        <f>WORKDAY(J8,1,[1]Hoja1!$A$1:$A$72)</f>
        <v>46239</v>
      </c>
      <c r="N8" s="57">
        <f t="shared" si="2"/>
        <v>46239</v>
      </c>
      <c r="O8" s="66">
        <v>46240</v>
      </c>
      <c r="P8" s="54">
        <f t="shared" si="3"/>
        <v>46240</v>
      </c>
      <c r="Q8" s="53">
        <f t="shared" si="4"/>
        <v>46240</v>
      </c>
      <c r="R8" s="54">
        <f t="shared" ref="R8:R28" si="10">+Q8</f>
        <v>46240</v>
      </c>
      <c r="S8" s="53">
        <f>WORKDAY(Q8,1,[1]Hoja1!$A$1:$A$72)</f>
        <v>46244</v>
      </c>
      <c r="T8" s="57">
        <f t="shared" ref="T8:T28" si="11">+S8</f>
        <v>46244</v>
      </c>
      <c r="U8" s="53">
        <f t="shared" ref="U8:U28" si="12">+S8</f>
        <v>46244</v>
      </c>
      <c r="V8" s="57">
        <f t="shared" ref="V8:V28" si="13">+U8</f>
        <v>46244</v>
      </c>
      <c r="W8" s="53">
        <f t="shared" ref="W8:W28" si="14">+U8</f>
        <v>46244</v>
      </c>
      <c r="X8" s="57">
        <f t="shared" ref="X8:X28" si="15">+W8</f>
        <v>46244</v>
      </c>
      <c r="Y8" s="66">
        <v>46246</v>
      </c>
      <c r="Z8" s="57">
        <f t="shared" si="5"/>
        <v>46246</v>
      </c>
      <c r="AA8" s="53">
        <f>WORKDAY(Y8,7,[1]Hoja1!$A$1:$A$72)</f>
        <v>46258</v>
      </c>
      <c r="AB8" s="57">
        <f>AA8</f>
        <v>46258</v>
      </c>
      <c r="AC8" s="53">
        <f>WORKDAY(AA8,1,[1]Hoja1!$A$1:$A$72)</f>
        <v>46259</v>
      </c>
      <c r="AD8" s="54">
        <f t="shared" si="7"/>
        <v>46259</v>
      </c>
      <c r="AE8" s="53">
        <f t="shared" si="8"/>
        <v>46259</v>
      </c>
      <c r="AF8" s="54">
        <f t="shared" si="9"/>
        <v>46259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81</v>
      </c>
      <c r="E9" s="50" t="s">
        <v>27</v>
      </c>
      <c r="F9" s="59" t="s">
        <v>28</v>
      </c>
      <c r="G9" s="52">
        <f>WORKDAY(J9,-1,[1]Hoja1!$A$1:$A$72)</f>
        <v>46238</v>
      </c>
      <c r="H9" s="50">
        <v>46209</v>
      </c>
      <c r="I9" s="54">
        <v>46209</v>
      </c>
      <c r="J9" s="67">
        <v>46239</v>
      </c>
      <c r="K9" s="54">
        <f t="shared" si="0"/>
        <v>46239</v>
      </c>
      <c r="L9" s="56">
        <f t="shared" si="1"/>
        <v>30</v>
      </c>
      <c r="M9" s="53">
        <f>WORKDAY(J9,1,[1]Hoja1!$A$1:$A$72)</f>
        <v>46240</v>
      </c>
      <c r="N9" s="57">
        <f t="shared" si="2"/>
        <v>46240</v>
      </c>
      <c r="O9" s="66">
        <v>46242</v>
      </c>
      <c r="P9" s="54">
        <f t="shared" si="3"/>
        <v>46242</v>
      </c>
      <c r="Q9" s="53">
        <f t="shared" si="4"/>
        <v>46242</v>
      </c>
      <c r="R9" s="54">
        <f t="shared" si="10"/>
        <v>46242</v>
      </c>
      <c r="S9" s="53">
        <f>WORKDAY(Q9,1,[1]Hoja1!$A$1:$A$72)</f>
        <v>46244</v>
      </c>
      <c r="T9" s="57">
        <f t="shared" si="11"/>
        <v>46244</v>
      </c>
      <c r="U9" s="53">
        <f t="shared" si="12"/>
        <v>46244</v>
      </c>
      <c r="V9" s="57">
        <f t="shared" si="13"/>
        <v>46244</v>
      </c>
      <c r="W9" s="53">
        <f t="shared" si="14"/>
        <v>46244</v>
      </c>
      <c r="X9" s="57">
        <f t="shared" si="15"/>
        <v>46244</v>
      </c>
      <c r="Y9" s="66">
        <v>46246</v>
      </c>
      <c r="Z9" s="57">
        <f t="shared" si="5"/>
        <v>46246</v>
      </c>
      <c r="AA9" s="53">
        <f>WORKDAY(Y9,7,[1]Hoja1!$A$1:$A$72)</f>
        <v>46258</v>
      </c>
      <c r="AB9" s="57">
        <f t="shared" si="6"/>
        <v>46258</v>
      </c>
      <c r="AC9" s="53">
        <f>WORKDAY(AA9,1,[1]Hoja1!$A$1:$A$72)</f>
        <v>46259</v>
      </c>
      <c r="AD9" s="54">
        <f t="shared" si="7"/>
        <v>46259</v>
      </c>
      <c r="AE9" s="53">
        <f t="shared" si="8"/>
        <v>46259</v>
      </c>
      <c r="AF9" s="54">
        <f t="shared" si="9"/>
        <v>46259</v>
      </c>
    </row>
    <row r="10" spans="2:38" s="48" customFormat="1" ht="15.95" customHeight="1" x14ac:dyDescent="0.2">
      <c r="B10" s="49">
        <v>61</v>
      </c>
      <c r="C10" s="49">
        <v>13</v>
      </c>
      <c r="D10" s="49" t="s">
        <v>69</v>
      </c>
      <c r="E10" s="50" t="s">
        <v>30</v>
      </c>
      <c r="F10" s="51" t="s">
        <v>31</v>
      </c>
      <c r="G10" s="52">
        <f>WORKDAY(J10,-1,[1]Hoja1!$A$1:$A$72)</f>
        <v>46239</v>
      </c>
      <c r="H10" s="55">
        <v>46179</v>
      </c>
      <c r="I10" s="54">
        <v>46179</v>
      </c>
      <c r="J10" s="65">
        <v>46240</v>
      </c>
      <c r="K10" s="54">
        <f>+J10</f>
        <v>46240</v>
      </c>
      <c r="L10" s="56">
        <f>(J10-H10)</f>
        <v>61</v>
      </c>
      <c r="M10" s="53">
        <f>WORKDAY(J10,1,[1]Hoja1!$A$1:$A$72)</f>
        <v>46244</v>
      </c>
      <c r="N10" s="57">
        <f>+M10</f>
        <v>46244</v>
      </c>
      <c r="O10" s="66">
        <v>46245</v>
      </c>
      <c r="P10" s="54">
        <f>+O10</f>
        <v>46245</v>
      </c>
      <c r="Q10" s="53">
        <f>+O10</f>
        <v>46245</v>
      </c>
      <c r="R10" s="54">
        <f>+Q10</f>
        <v>46245</v>
      </c>
      <c r="S10" s="53">
        <f>WORKDAY(Q10,1,[1]Hoja1!$A$1:$A$72)</f>
        <v>46246</v>
      </c>
      <c r="T10" s="57">
        <f>+S10</f>
        <v>46246</v>
      </c>
      <c r="U10" s="53">
        <f>+S10</f>
        <v>46246</v>
      </c>
      <c r="V10" s="57">
        <f>+U10</f>
        <v>46246</v>
      </c>
      <c r="W10" s="53">
        <f>+U10</f>
        <v>46246</v>
      </c>
      <c r="X10" s="57">
        <f>+W10</f>
        <v>46246</v>
      </c>
      <c r="Y10" s="66">
        <v>46248</v>
      </c>
      <c r="Z10" s="57">
        <f>+Y10</f>
        <v>46248</v>
      </c>
      <c r="AA10" s="53">
        <f>WORKDAY(Y10,26,[1]Hoja1!$A$1:$A$72)</f>
        <v>46287</v>
      </c>
      <c r="AB10" s="57">
        <f>AA10</f>
        <v>46287</v>
      </c>
      <c r="AC10" s="53">
        <f>WORKDAY(AA10,1,[1]Hoja1!$A$1:$A$72)</f>
        <v>46288</v>
      </c>
      <c r="AD10" s="54">
        <f>+AC10</f>
        <v>46288</v>
      </c>
      <c r="AE10" s="53">
        <f>+AC10</f>
        <v>46288</v>
      </c>
      <c r="AF10" s="54">
        <f>+AE10</f>
        <v>46288</v>
      </c>
      <c r="AL10" s="48" t="s">
        <v>31</v>
      </c>
    </row>
    <row r="11" spans="2:38" s="48" customFormat="1" ht="30.75" customHeight="1" x14ac:dyDescent="0.2">
      <c r="B11" s="49">
        <v>15</v>
      </c>
      <c r="C11" s="49">
        <v>13</v>
      </c>
      <c r="D11" s="49" t="s">
        <v>82</v>
      </c>
      <c r="E11" s="60" t="s">
        <v>35</v>
      </c>
      <c r="F11" s="59" t="s">
        <v>28</v>
      </c>
      <c r="G11" s="52">
        <f>WORKDAY(J11,-1,[1]Hoja1!$A$1:$A$72)</f>
        <v>46240</v>
      </c>
      <c r="H11" s="53">
        <v>46210</v>
      </c>
      <c r="I11" s="61">
        <v>46210</v>
      </c>
      <c r="J11" s="67">
        <v>46242</v>
      </c>
      <c r="K11" s="54">
        <f t="shared" si="0"/>
        <v>46242</v>
      </c>
      <c r="L11" s="56">
        <f t="shared" si="1"/>
        <v>32</v>
      </c>
      <c r="M11" s="53">
        <f>WORKDAY(J11,1,[1]Hoja1!$A$1:$A$72)</f>
        <v>46244</v>
      </c>
      <c r="N11" s="57">
        <f t="shared" si="2"/>
        <v>46244</v>
      </c>
      <c r="O11" s="66">
        <v>46245</v>
      </c>
      <c r="P11" s="54">
        <f t="shared" si="3"/>
        <v>46245</v>
      </c>
      <c r="Q11" s="53">
        <f t="shared" si="4"/>
        <v>46245</v>
      </c>
      <c r="R11" s="54">
        <f t="shared" si="10"/>
        <v>46245</v>
      </c>
      <c r="S11" s="53">
        <f>WORKDAY(Q11,1,[1]Hoja1!$A$1:$A$72)</f>
        <v>46246</v>
      </c>
      <c r="T11" s="57">
        <f t="shared" si="11"/>
        <v>46246</v>
      </c>
      <c r="U11" s="53">
        <f t="shared" si="12"/>
        <v>46246</v>
      </c>
      <c r="V11" s="57">
        <f t="shared" si="13"/>
        <v>46246</v>
      </c>
      <c r="W11" s="53">
        <f t="shared" si="14"/>
        <v>46246</v>
      </c>
      <c r="X11" s="57">
        <f t="shared" si="15"/>
        <v>46246</v>
      </c>
      <c r="Y11" s="66">
        <v>46248</v>
      </c>
      <c r="Z11" s="57">
        <f t="shared" si="5"/>
        <v>46248</v>
      </c>
      <c r="AA11" s="53">
        <f>WORKDAY(Y11,8,[1]Hoja1!$A$1:$A$72)</f>
        <v>46261</v>
      </c>
      <c r="AB11" s="57">
        <f>AA11</f>
        <v>46261</v>
      </c>
      <c r="AC11" s="53">
        <f>WORKDAY(AA11,1,[1]Hoja1!$A$1:$A$72)</f>
        <v>46262</v>
      </c>
      <c r="AD11" s="54">
        <f t="shared" si="7"/>
        <v>46262</v>
      </c>
      <c r="AE11" s="53">
        <f t="shared" si="8"/>
        <v>46262</v>
      </c>
      <c r="AF11" s="54">
        <f t="shared" si="9"/>
        <v>46262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69</v>
      </c>
      <c r="E12" s="50" t="s">
        <v>36</v>
      </c>
      <c r="F12" s="59" t="s">
        <v>28</v>
      </c>
      <c r="G12" s="52">
        <f>WORKDAY(J12,-1,[1]Hoja1!$A$1:$A$72)</f>
        <v>46240</v>
      </c>
      <c r="H12" s="53">
        <v>46212</v>
      </c>
      <c r="I12" s="61">
        <v>46212</v>
      </c>
      <c r="J12" s="67">
        <v>46244</v>
      </c>
      <c r="K12" s="54">
        <f t="shared" si="0"/>
        <v>46244</v>
      </c>
      <c r="L12" s="56">
        <f t="shared" si="1"/>
        <v>32</v>
      </c>
      <c r="M12" s="53">
        <f>WORKDAY(J12,1,[1]Hoja1!$A$1:$A$72)</f>
        <v>46245</v>
      </c>
      <c r="N12" s="57">
        <f t="shared" si="2"/>
        <v>46245</v>
      </c>
      <c r="O12" s="66">
        <v>46246</v>
      </c>
      <c r="P12" s="54">
        <f t="shared" si="3"/>
        <v>46246</v>
      </c>
      <c r="Q12" s="53">
        <f t="shared" si="4"/>
        <v>46246</v>
      </c>
      <c r="R12" s="54">
        <f t="shared" si="10"/>
        <v>46246</v>
      </c>
      <c r="S12" s="53">
        <f>WORKDAY(Q12,1,[1]Hoja1!$A$1:$A$72)</f>
        <v>46247</v>
      </c>
      <c r="T12" s="57">
        <f t="shared" si="11"/>
        <v>46247</v>
      </c>
      <c r="U12" s="53">
        <f t="shared" si="12"/>
        <v>46247</v>
      </c>
      <c r="V12" s="57">
        <f t="shared" si="13"/>
        <v>46247</v>
      </c>
      <c r="W12" s="53">
        <f t="shared" si="14"/>
        <v>46247</v>
      </c>
      <c r="X12" s="57">
        <f t="shared" si="15"/>
        <v>46247</v>
      </c>
      <c r="Y12" s="66">
        <v>46252</v>
      </c>
      <c r="Z12" s="57">
        <f t="shared" si="5"/>
        <v>46252</v>
      </c>
      <c r="AA12" s="53">
        <f>WORKDAY(Y12,7,[1]Hoja1!$A$1:$A$72)</f>
        <v>46261</v>
      </c>
      <c r="AB12" s="57">
        <f t="shared" si="6"/>
        <v>46261</v>
      </c>
      <c r="AC12" s="53">
        <f>WORKDAY(AA12,1,[1]Hoja1!$A$1:$A$72)</f>
        <v>46262</v>
      </c>
      <c r="AD12" s="54">
        <f t="shared" si="7"/>
        <v>46262</v>
      </c>
      <c r="AE12" s="53">
        <f t="shared" si="8"/>
        <v>46262</v>
      </c>
      <c r="AF12" s="54">
        <f t="shared" si="9"/>
        <v>46262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73</v>
      </c>
      <c r="E13" s="50" t="s">
        <v>37</v>
      </c>
      <c r="F13" s="59" t="s">
        <v>28</v>
      </c>
      <c r="G13" s="52">
        <f>WORKDAY(J13,-1,[1]Hoja1!$A$1:$A$72)</f>
        <v>46240</v>
      </c>
      <c r="H13" s="53">
        <v>46212</v>
      </c>
      <c r="I13" s="61">
        <v>46212</v>
      </c>
      <c r="J13" s="67">
        <v>46244</v>
      </c>
      <c r="K13" s="54">
        <f>+J13</f>
        <v>46244</v>
      </c>
      <c r="L13" s="56">
        <f t="shared" si="1"/>
        <v>32</v>
      </c>
      <c r="M13" s="53">
        <f>WORKDAY(J13,1,[1]Hoja1!$A$1:$A$72)</f>
        <v>46245</v>
      </c>
      <c r="N13" s="57">
        <f t="shared" si="2"/>
        <v>46245</v>
      </c>
      <c r="O13" s="66">
        <v>46246</v>
      </c>
      <c r="P13" s="54">
        <f t="shared" si="3"/>
        <v>46246</v>
      </c>
      <c r="Q13" s="53">
        <f t="shared" si="4"/>
        <v>46246</v>
      </c>
      <c r="R13" s="54">
        <f t="shared" si="10"/>
        <v>46246</v>
      </c>
      <c r="S13" s="53">
        <f>WORKDAY(Q13,1,[1]Hoja1!$A$1:$A$72)</f>
        <v>46247</v>
      </c>
      <c r="T13" s="57">
        <f t="shared" si="11"/>
        <v>46247</v>
      </c>
      <c r="U13" s="53">
        <f t="shared" si="12"/>
        <v>46247</v>
      </c>
      <c r="V13" s="57">
        <f t="shared" si="13"/>
        <v>46247</v>
      </c>
      <c r="W13" s="53">
        <f t="shared" si="14"/>
        <v>46247</v>
      </c>
      <c r="X13" s="57">
        <f t="shared" si="15"/>
        <v>46247</v>
      </c>
      <c r="Y13" s="66">
        <v>46252</v>
      </c>
      <c r="Z13" s="57">
        <f t="shared" si="5"/>
        <v>46252</v>
      </c>
      <c r="AA13" s="53">
        <f>WORKDAY(Y13,8,[1]Hoja1!$A$1:$A$72)</f>
        <v>46262</v>
      </c>
      <c r="AB13" s="57">
        <f t="shared" si="6"/>
        <v>46262</v>
      </c>
      <c r="AC13" s="53">
        <f>WORKDAY(AA13,1,[1]Hoja1!$A$1:$A$72)</f>
        <v>46265</v>
      </c>
      <c r="AD13" s="54">
        <f t="shared" si="7"/>
        <v>46265</v>
      </c>
      <c r="AE13" s="53">
        <f t="shared" si="8"/>
        <v>46265</v>
      </c>
      <c r="AF13" s="54">
        <f t="shared" si="9"/>
        <v>46265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81</v>
      </c>
      <c r="E14" s="50" t="s">
        <v>38</v>
      </c>
      <c r="F14" s="59" t="s">
        <v>28</v>
      </c>
      <c r="G14" s="52">
        <f>WORKDAY(J14,-1,[1]Hoja1!$A$1:$A$72)</f>
        <v>46240</v>
      </c>
      <c r="H14" s="53">
        <v>46212</v>
      </c>
      <c r="I14" s="61">
        <v>46212</v>
      </c>
      <c r="J14" s="67">
        <v>46244</v>
      </c>
      <c r="K14" s="54">
        <f>+J14</f>
        <v>46244</v>
      </c>
      <c r="L14" s="56">
        <f t="shared" si="1"/>
        <v>32</v>
      </c>
      <c r="M14" s="53">
        <f>WORKDAY(J14,1,[1]Hoja1!$A$1:$A$72)</f>
        <v>46245</v>
      </c>
      <c r="N14" s="57">
        <f t="shared" si="2"/>
        <v>46245</v>
      </c>
      <c r="O14" s="66">
        <v>46246</v>
      </c>
      <c r="P14" s="54">
        <f t="shared" si="3"/>
        <v>46246</v>
      </c>
      <c r="Q14" s="53">
        <f t="shared" si="4"/>
        <v>46246</v>
      </c>
      <c r="R14" s="54">
        <f t="shared" si="10"/>
        <v>46246</v>
      </c>
      <c r="S14" s="53">
        <f>WORKDAY(Q14,1,[1]Hoja1!$A$1:$A$72)</f>
        <v>46247</v>
      </c>
      <c r="T14" s="57">
        <f t="shared" si="11"/>
        <v>46247</v>
      </c>
      <c r="U14" s="53">
        <f t="shared" si="12"/>
        <v>46247</v>
      </c>
      <c r="V14" s="57">
        <f t="shared" si="13"/>
        <v>46247</v>
      </c>
      <c r="W14" s="53">
        <f t="shared" si="14"/>
        <v>46247</v>
      </c>
      <c r="X14" s="57">
        <f t="shared" si="15"/>
        <v>46247</v>
      </c>
      <c r="Y14" s="66">
        <v>46252</v>
      </c>
      <c r="Z14" s="57">
        <f t="shared" si="5"/>
        <v>46252</v>
      </c>
      <c r="AA14" s="53">
        <f>WORKDAY(Y14,6,[1]Hoja1!$A$1:$A$72)</f>
        <v>46260</v>
      </c>
      <c r="AB14" s="57">
        <f t="shared" si="6"/>
        <v>46260</v>
      </c>
      <c r="AC14" s="53">
        <f>WORKDAY(AA14,1,[1]Hoja1!$A$1:$A$72)</f>
        <v>46261</v>
      </c>
      <c r="AD14" s="54">
        <f t="shared" si="7"/>
        <v>46261</v>
      </c>
      <c r="AE14" s="53">
        <f t="shared" si="8"/>
        <v>46261</v>
      </c>
      <c r="AF14" s="54">
        <f t="shared" si="9"/>
        <v>46261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69</v>
      </c>
      <c r="E15" s="50" t="s">
        <v>39</v>
      </c>
      <c r="F15" s="59" t="s">
        <v>28</v>
      </c>
      <c r="G15" s="52">
        <f>WORKDAY(J15,-1,[1]Hoja1!$A$1:$A$72)</f>
        <v>46244</v>
      </c>
      <c r="H15" s="53">
        <v>46213</v>
      </c>
      <c r="I15" s="61">
        <v>46213</v>
      </c>
      <c r="J15" s="67">
        <v>46245</v>
      </c>
      <c r="K15" s="54">
        <f t="shared" ref="K15:K20" si="16">+J15</f>
        <v>46245</v>
      </c>
      <c r="L15" s="56">
        <f t="shared" si="1"/>
        <v>32</v>
      </c>
      <c r="M15" s="53">
        <f>WORKDAY(J15,2,[1]Hoja1!$A$1:$A$72)</f>
        <v>46247</v>
      </c>
      <c r="N15" s="57">
        <f t="shared" si="2"/>
        <v>46247</v>
      </c>
      <c r="O15" s="66">
        <v>46248</v>
      </c>
      <c r="P15" s="54">
        <f t="shared" si="3"/>
        <v>46248</v>
      </c>
      <c r="Q15" s="53">
        <f>WORKDAY(O15,1,[1]Hoja1!$A$1:$A$72)</f>
        <v>46252</v>
      </c>
      <c r="R15" s="54">
        <f t="shared" si="10"/>
        <v>46252</v>
      </c>
      <c r="S15" s="53">
        <f>WORKDAY(Q15,1,[1]Hoja1!$A$1:$A$72)</f>
        <v>46253</v>
      </c>
      <c r="T15" s="57">
        <f t="shared" si="11"/>
        <v>46253</v>
      </c>
      <c r="U15" s="53">
        <f t="shared" si="12"/>
        <v>46253</v>
      </c>
      <c r="V15" s="57">
        <f t="shared" si="13"/>
        <v>46253</v>
      </c>
      <c r="W15" s="53">
        <f t="shared" si="14"/>
        <v>46253</v>
      </c>
      <c r="X15" s="57">
        <f t="shared" si="15"/>
        <v>46253</v>
      </c>
      <c r="Y15" s="66">
        <v>46261</v>
      </c>
      <c r="Z15" s="57">
        <f t="shared" si="5"/>
        <v>46261</v>
      </c>
      <c r="AA15" s="53">
        <f>WORKDAY(Y15,6,[1]Hoja1!$A$1:$A$72)</f>
        <v>46269</v>
      </c>
      <c r="AB15" s="57">
        <f>AA15</f>
        <v>46269</v>
      </c>
      <c r="AC15" s="53">
        <f>WORKDAY(AA15,1,[1]Hoja1!$A$1:$A$72)</f>
        <v>46272</v>
      </c>
      <c r="AD15" s="54">
        <f t="shared" si="7"/>
        <v>46272</v>
      </c>
      <c r="AE15" s="53">
        <f t="shared" si="8"/>
        <v>46272</v>
      </c>
      <c r="AF15" s="54">
        <f t="shared" si="9"/>
        <v>46272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81</v>
      </c>
      <c r="E16" s="50" t="s">
        <v>41</v>
      </c>
      <c r="F16" s="59" t="s">
        <v>28</v>
      </c>
      <c r="G16" s="52">
        <f>WORKDAY(J16,-1,[1]Hoja1!$A$1:$A$72)</f>
        <v>46245</v>
      </c>
      <c r="H16" s="55">
        <v>46214</v>
      </c>
      <c r="I16" s="54">
        <v>46214</v>
      </c>
      <c r="J16" s="65">
        <v>46246</v>
      </c>
      <c r="K16" s="54">
        <f t="shared" si="16"/>
        <v>46246</v>
      </c>
      <c r="L16" s="56">
        <f t="shared" si="1"/>
        <v>32</v>
      </c>
      <c r="M16" s="53">
        <f>WORKDAY(J16,1,[1]Hoja1!$A$1:$A$72)</f>
        <v>46247</v>
      </c>
      <c r="N16" s="57">
        <f t="shared" si="2"/>
        <v>46247</v>
      </c>
      <c r="O16" s="66">
        <v>46248</v>
      </c>
      <c r="P16" s="54">
        <f t="shared" si="3"/>
        <v>46248</v>
      </c>
      <c r="Q16" s="53">
        <f>+O16</f>
        <v>46248</v>
      </c>
      <c r="R16" s="54">
        <f t="shared" si="10"/>
        <v>46248</v>
      </c>
      <c r="S16" s="53">
        <f>WORKDAY(Q16,1,[1]Hoja1!$A$1:$A$72)</f>
        <v>46252</v>
      </c>
      <c r="T16" s="57">
        <f t="shared" si="11"/>
        <v>46252</v>
      </c>
      <c r="U16" s="53">
        <f t="shared" si="12"/>
        <v>46252</v>
      </c>
      <c r="V16" s="57">
        <f t="shared" si="13"/>
        <v>46252</v>
      </c>
      <c r="W16" s="53">
        <f t="shared" si="14"/>
        <v>46252</v>
      </c>
      <c r="X16" s="57">
        <f t="shared" si="15"/>
        <v>46252</v>
      </c>
      <c r="Y16" s="66">
        <v>46254</v>
      </c>
      <c r="Z16" s="57">
        <f t="shared" si="5"/>
        <v>46254</v>
      </c>
      <c r="AA16" s="53">
        <f>WORKDAY(Y16,7,[1]Hoja1!$A$1:$A$72)</f>
        <v>46265</v>
      </c>
      <c r="AB16" s="57">
        <f t="shared" si="6"/>
        <v>46265</v>
      </c>
      <c r="AC16" s="53">
        <f>WORKDAY(AA16,1,[1]Hoja1!$A$1:$A$72)</f>
        <v>46266</v>
      </c>
      <c r="AD16" s="54">
        <f t="shared" si="7"/>
        <v>46266</v>
      </c>
      <c r="AE16" s="53">
        <f t="shared" si="8"/>
        <v>46266</v>
      </c>
      <c r="AF16" s="54">
        <f t="shared" si="9"/>
        <v>46266</v>
      </c>
    </row>
    <row r="17" spans="2:32" s="48" customFormat="1" ht="15" customHeight="1" x14ac:dyDescent="0.2">
      <c r="B17" s="49">
        <v>60</v>
      </c>
      <c r="C17" s="49">
        <v>13</v>
      </c>
      <c r="D17" s="49" t="s">
        <v>69</v>
      </c>
      <c r="E17" s="50" t="s">
        <v>40</v>
      </c>
      <c r="F17" s="59" t="s">
        <v>31</v>
      </c>
      <c r="G17" s="52">
        <f>WORKDAY(J17,-1,[1]Hoja1!$A$1:$A$72)</f>
        <v>46246</v>
      </c>
      <c r="H17" s="50">
        <v>46184</v>
      </c>
      <c r="I17" s="54">
        <v>46184</v>
      </c>
      <c r="J17" s="65">
        <v>46247</v>
      </c>
      <c r="K17" s="54">
        <f>+J17</f>
        <v>46247</v>
      </c>
      <c r="L17" s="56">
        <f>(J17-H17)</f>
        <v>63</v>
      </c>
      <c r="M17" s="53">
        <f>WORKDAY(J17,1,[1]Hoja1!$A$1:$A$72)</f>
        <v>46248</v>
      </c>
      <c r="N17" s="57">
        <f>+M17</f>
        <v>46248</v>
      </c>
      <c r="O17" s="66">
        <v>46249</v>
      </c>
      <c r="P17" s="54">
        <f>+O17</f>
        <v>46249</v>
      </c>
      <c r="Q17" s="53">
        <f>+O17</f>
        <v>46249</v>
      </c>
      <c r="R17" s="54">
        <f>+Q17</f>
        <v>46249</v>
      </c>
      <c r="S17" s="53">
        <f>WORKDAY(Q17,1,[1]Hoja1!$A$1:$A$72)</f>
        <v>46252</v>
      </c>
      <c r="T17" s="57">
        <f>+S17</f>
        <v>46252</v>
      </c>
      <c r="U17" s="53">
        <f>+S17</f>
        <v>46252</v>
      </c>
      <c r="V17" s="57">
        <f>+U17</f>
        <v>46252</v>
      </c>
      <c r="W17" s="53">
        <f>+U17</f>
        <v>46252</v>
      </c>
      <c r="X17" s="57">
        <f>+W17</f>
        <v>46252</v>
      </c>
      <c r="Y17" s="66">
        <v>46254</v>
      </c>
      <c r="Z17" s="57">
        <f>+Y17</f>
        <v>46254</v>
      </c>
      <c r="AA17" s="53">
        <f>WORKDAY(Y17,24,[1]Hoja1!$A$1:$A$72)</f>
        <v>46288</v>
      </c>
      <c r="AB17" s="57">
        <f>AA17</f>
        <v>46288</v>
      </c>
      <c r="AC17" s="53">
        <f>WORKDAY(AA17,1,[1]Hoja1!$A$1:$A$72)</f>
        <v>46289</v>
      </c>
      <c r="AD17" s="54">
        <f>+AC17</f>
        <v>46289</v>
      </c>
      <c r="AE17" s="53">
        <f>+AC17</f>
        <v>46289</v>
      </c>
      <c r="AF17" s="54">
        <f>+AE17</f>
        <v>46289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81</v>
      </c>
      <c r="E18" s="50" t="s">
        <v>42</v>
      </c>
      <c r="F18" s="59" t="s">
        <v>28</v>
      </c>
      <c r="G18" s="52">
        <f>WORKDAY(J18,-1,[1]Hoja1!$A$1:$A$72)</f>
        <v>46247</v>
      </c>
      <c r="H18" s="55">
        <v>46217</v>
      </c>
      <c r="I18" s="54">
        <v>46217</v>
      </c>
      <c r="J18" s="65">
        <v>46248</v>
      </c>
      <c r="K18" s="54">
        <f t="shared" si="16"/>
        <v>46248</v>
      </c>
      <c r="L18" s="56">
        <f t="shared" si="1"/>
        <v>31</v>
      </c>
      <c r="M18" s="53">
        <f>WORKDAY(J18,2,[1]Hoja1!$A$1:$A$72)</f>
        <v>46253</v>
      </c>
      <c r="N18" s="57">
        <f t="shared" si="2"/>
        <v>46253</v>
      </c>
      <c r="O18" s="66">
        <v>46254</v>
      </c>
      <c r="P18" s="54">
        <f t="shared" si="3"/>
        <v>46254</v>
      </c>
      <c r="Q18" s="53">
        <f>WORKDAY(O18,1,[1]Hoja1!$A$1:$A$72)</f>
        <v>46255</v>
      </c>
      <c r="R18" s="54">
        <f t="shared" si="10"/>
        <v>46255</v>
      </c>
      <c r="S18" s="53">
        <f>WORKDAY(Q18,1,[1]Hoja1!$A$1:$A$72)</f>
        <v>46258</v>
      </c>
      <c r="T18" s="57">
        <f t="shared" si="11"/>
        <v>46258</v>
      </c>
      <c r="U18" s="53">
        <f t="shared" si="12"/>
        <v>46258</v>
      </c>
      <c r="V18" s="57">
        <f t="shared" si="13"/>
        <v>46258</v>
      </c>
      <c r="W18" s="53">
        <f t="shared" si="14"/>
        <v>46258</v>
      </c>
      <c r="X18" s="57">
        <f t="shared" si="15"/>
        <v>46258</v>
      </c>
      <c r="Y18" s="66">
        <v>46262</v>
      </c>
      <c r="Z18" s="57">
        <f t="shared" si="5"/>
        <v>46262</v>
      </c>
      <c r="AA18" s="53">
        <f>WORKDAY(Y18,6,[1]Hoja1!$A$1:$A$72)</f>
        <v>46272</v>
      </c>
      <c r="AB18" s="57">
        <f t="shared" si="6"/>
        <v>46272</v>
      </c>
      <c r="AC18" s="53">
        <f>WORKDAY(AA18,1,[1]Hoja1!$A$1:$A$72)</f>
        <v>46273</v>
      </c>
      <c r="AD18" s="54">
        <f t="shared" si="7"/>
        <v>46273</v>
      </c>
      <c r="AE18" s="53">
        <f t="shared" si="8"/>
        <v>46273</v>
      </c>
      <c r="AF18" s="54">
        <f t="shared" si="9"/>
        <v>46273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69</v>
      </c>
      <c r="E19" s="50" t="s">
        <v>43</v>
      </c>
      <c r="F19" s="59" t="s">
        <v>28</v>
      </c>
      <c r="G19" s="52">
        <f>WORKDAY(J19,-1,[1]Hoja1!$A$1:$A$72)</f>
        <v>46248</v>
      </c>
      <c r="H19" s="55">
        <v>46219</v>
      </c>
      <c r="I19" s="54">
        <v>46219</v>
      </c>
      <c r="J19" s="65">
        <v>46249</v>
      </c>
      <c r="K19" s="54">
        <f t="shared" si="16"/>
        <v>46249</v>
      </c>
      <c r="L19" s="56">
        <f t="shared" si="1"/>
        <v>30</v>
      </c>
      <c r="M19" s="53">
        <f>WORKDAY(J19,1,[1]Hoja1!$A$1:$A$72)</f>
        <v>46252</v>
      </c>
      <c r="N19" s="57">
        <f t="shared" si="2"/>
        <v>46252</v>
      </c>
      <c r="O19" s="66">
        <v>46253</v>
      </c>
      <c r="P19" s="54">
        <f t="shared" si="3"/>
        <v>46253</v>
      </c>
      <c r="Q19" s="53">
        <f>+O19</f>
        <v>46253</v>
      </c>
      <c r="R19" s="54">
        <f t="shared" si="10"/>
        <v>46253</v>
      </c>
      <c r="S19" s="53">
        <f>WORKDAY(Q19,1,[1]Hoja1!$A$1:$A$72)</f>
        <v>46254</v>
      </c>
      <c r="T19" s="57">
        <f t="shared" si="11"/>
        <v>46254</v>
      </c>
      <c r="U19" s="53">
        <f t="shared" si="12"/>
        <v>46254</v>
      </c>
      <c r="V19" s="57">
        <f t="shared" si="13"/>
        <v>46254</v>
      </c>
      <c r="W19" s="53">
        <f t="shared" si="14"/>
        <v>46254</v>
      </c>
      <c r="X19" s="57">
        <f t="shared" si="15"/>
        <v>46254</v>
      </c>
      <c r="Y19" s="66">
        <v>46258</v>
      </c>
      <c r="Z19" s="57">
        <f t="shared" si="5"/>
        <v>46258</v>
      </c>
      <c r="AA19" s="53">
        <f>WORKDAY(Y19,8,[1]Hoja1!$A$1:$A$72)</f>
        <v>46268</v>
      </c>
      <c r="AB19" s="57">
        <f t="shared" si="6"/>
        <v>46268</v>
      </c>
      <c r="AC19" s="53">
        <f>WORKDAY(AA19,1,[1]Hoja1!$A$1:$A$72)</f>
        <v>46269</v>
      </c>
      <c r="AD19" s="54">
        <f t="shared" si="7"/>
        <v>46269</v>
      </c>
      <c r="AE19" s="53">
        <f t="shared" si="8"/>
        <v>46269</v>
      </c>
      <c r="AF19" s="54">
        <f t="shared" si="9"/>
        <v>46269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f>WORKDAY(J20,-1,[1]Hoja1!$A$1:$A$72)</f>
        <v>46248</v>
      </c>
      <c r="H20" s="55">
        <v>46220</v>
      </c>
      <c r="I20" s="54">
        <v>46220</v>
      </c>
      <c r="J20" s="65">
        <v>46252</v>
      </c>
      <c r="K20" s="54">
        <f t="shared" si="16"/>
        <v>46252</v>
      </c>
      <c r="L20" s="56">
        <f t="shared" si="1"/>
        <v>32</v>
      </c>
      <c r="M20" s="53">
        <f>WORKDAY(J20,1,[1]Hoja1!$A$1:$A$72)</f>
        <v>46253</v>
      </c>
      <c r="N20" s="57">
        <f t="shared" si="2"/>
        <v>46253</v>
      </c>
      <c r="O20" s="66">
        <v>46255</v>
      </c>
      <c r="P20" s="54">
        <f t="shared" si="3"/>
        <v>46255</v>
      </c>
      <c r="Q20" s="53">
        <f>WORKDAY(O20,1,[1]Hoja1!$A$1:$A$72)</f>
        <v>46258</v>
      </c>
      <c r="R20" s="54">
        <f t="shared" si="10"/>
        <v>46258</v>
      </c>
      <c r="S20" s="53">
        <f>WORKDAY(Q20,1,[1]Hoja1!$A$1:$A$72)</f>
        <v>46259</v>
      </c>
      <c r="T20" s="57">
        <f t="shared" si="11"/>
        <v>46259</v>
      </c>
      <c r="U20" s="53">
        <f t="shared" si="12"/>
        <v>46259</v>
      </c>
      <c r="V20" s="57">
        <f t="shared" si="13"/>
        <v>46259</v>
      </c>
      <c r="W20" s="53">
        <f t="shared" si="14"/>
        <v>46259</v>
      </c>
      <c r="X20" s="57">
        <f t="shared" si="15"/>
        <v>46259</v>
      </c>
      <c r="Y20" s="66">
        <v>46263</v>
      </c>
      <c r="Z20" s="57">
        <f t="shared" si="5"/>
        <v>46263</v>
      </c>
      <c r="AA20" s="53">
        <f>WORKDAY(Y20,9,[1]Hoja1!$A$1:$A$72)</f>
        <v>46275</v>
      </c>
      <c r="AB20" s="57">
        <f t="shared" si="6"/>
        <v>46275</v>
      </c>
      <c r="AC20" s="53">
        <f>WORKDAY(AA20,1,[1]Hoja1!$A$1:$A$72)</f>
        <v>46276</v>
      </c>
      <c r="AD20" s="54">
        <f t="shared" si="7"/>
        <v>46276</v>
      </c>
      <c r="AE20" s="53">
        <f t="shared" si="8"/>
        <v>46276</v>
      </c>
      <c r="AF20" s="54">
        <f t="shared" si="9"/>
        <v>46276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73</v>
      </c>
      <c r="E21" s="50" t="s">
        <v>44</v>
      </c>
      <c r="F21" s="59" t="s">
        <v>28</v>
      </c>
      <c r="G21" s="52">
        <f>WORKDAY(J21,-1,[1]Hoja1!$A$1:$A$72)</f>
        <v>46248</v>
      </c>
      <c r="H21" s="55">
        <v>46220</v>
      </c>
      <c r="I21" s="54">
        <v>46220</v>
      </c>
      <c r="J21" s="65">
        <v>46252</v>
      </c>
      <c r="K21" s="54">
        <f t="shared" si="0"/>
        <v>46252</v>
      </c>
      <c r="L21" s="56">
        <f t="shared" si="1"/>
        <v>32</v>
      </c>
      <c r="M21" s="53">
        <f>WORKDAY(J21,1,[1]Hoja1!$A$1:$A$72)</f>
        <v>46253</v>
      </c>
      <c r="N21" s="57">
        <f t="shared" si="2"/>
        <v>46253</v>
      </c>
      <c r="O21" s="66">
        <v>46254</v>
      </c>
      <c r="P21" s="54">
        <f t="shared" si="3"/>
        <v>46254</v>
      </c>
      <c r="Q21" s="53">
        <f>+O21</f>
        <v>46254</v>
      </c>
      <c r="R21" s="54">
        <f t="shared" si="10"/>
        <v>46254</v>
      </c>
      <c r="S21" s="53">
        <f>WORKDAY(Q21,1,[1]Hoja1!$A$1:$A$72)</f>
        <v>46255</v>
      </c>
      <c r="T21" s="57">
        <f t="shared" si="11"/>
        <v>46255</v>
      </c>
      <c r="U21" s="53">
        <f t="shared" si="12"/>
        <v>46255</v>
      </c>
      <c r="V21" s="57">
        <f t="shared" si="13"/>
        <v>46255</v>
      </c>
      <c r="W21" s="53">
        <f t="shared" si="14"/>
        <v>46255</v>
      </c>
      <c r="X21" s="57">
        <f t="shared" si="15"/>
        <v>46255</v>
      </c>
      <c r="Y21" s="66">
        <v>46259</v>
      </c>
      <c r="Z21" s="57">
        <f t="shared" si="5"/>
        <v>46259</v>
      </c>
      <c r="AA21" s="53">
        <f>WORKDAY(Y21,9,[1]Hoja1!$A$1:$A$72)</f>
        <v>46272</v>
      </c>
      <c r="AB21" s="57">
        <f t="shared" si="6"/>
        <v>46272</v>
      </c>
      <c r="AC21" s="53">
        <f>WORKDAY(AA21,1,[1]Hoja1!$A$1:$A$72)</f>
        <v>46273</v>
      </c>
      <c r="AD21" s="54">
        <f t="shared" si="7"/>
        <v>46273</v>
      </c>
      <c r="AE21" s="53">
        <f t="shared" si="8"/>
        <v>46273</v>
      </c>
      <c r="AF21" s="54">
        <f t="shared" si="9"/>
        <v>46273</v>
      </c>
    </row>
    <row r="22" spans="2:32" s="1" customFormat="1" ht="15.95" customHeight="1" x14ac:dyDescent="0.2">
      <c r="B22" s="15">
        <v>66</v>
      </c>
      <c r="C22" s="15">
        <v>12</v>
      </c>
      <c r="D22" s="49" t="s">
        <v>82</v>
      </c>
      <c r="E22" s="16" t="s">
        <v>45</v>
      </c>
      <c r="F22" s="25" t="s">
        <v>31</v>
      </c>
      <c r="G22" s="52">
        <f>WORKDAY(J22,-1,[1]Hoja1!$A$1:$A$72)</f>
        <v>46252</v>
      </c>
      <c r="H22" s="55">
        <v>46191</v>
      </c>
      <c r="I22" s="54">
        <v>46191</v>
      </c>
      <c r="J22" s="65">
        <v>46253</v>
      </c>
      <c r="K22" s="54">
        <f t="shared" si="0"/>
        <v>46253</v>
      </c>
      <c r="L22" s="22">
        <f t="shared" si="1"/>
        <v>62</v>
      </c>
      <c r="M22" s="53">
        <f>WORKDAY(J22,1,[1]Hoja1!$A$1:$A$72)</f>
        <v>46254</v>
      </c>
      <c r="N22" s="23">
        <f t="shared" si="2"/>
        <v>46254</v>
      </c>
      <c r="O22" s="66">
        <v>46255</v>
      </c>
      <c r="P22" s="54">
        <f t="shared" si="3"/>
        <v>46255</v>
      </c>
      <c r="Q22" s="53">
        <f>+O22</f>
        <v>46255</v>
      </c>
      <c r="R22" s="20">
        <f t="shared" si="10"/>
        <v>46255</v>
      </c>
      <c r="S22" s="53">
        <f>WORKDAY(Q22,1,[1]Hoja1!$A$1:$A$72)</f>
        <v>46258</v>
      </c>
      <c r="T22" s="23">
        <f t="shared" si="11"/>
        <v>46258</v>
      </c>
      <c r="U22" s="19">
        <f t="shared" si="12"/>
        <v>46258</v>
      </c>
      <c r="V22" s="23">
        <f t="shared" si="13"/>
        <v>46258</v>
      </c>
      <c r="W22" s="19">
        <f t="shared" si="14"/>
        <v>46258</v>
      </c>
      <c r="X22" s="23">
        <f t="shared" si="15"/>
        <v>46258</v>
      </c>
      <c r="Y22" s="66">
        <v>46260</v>
      </c>
      <c r="Z22" s="57">
        <f t="shared" si="5"/>
        <v>46260</v>
      </c>
      <c r="AA22" s="53">
        <f>WORKDAY(Y22,25,[1]Hoja1!$A$1:$A$72)</f>
        <v>46295</v>
      </c>
      <c r="AB22" s="23">
        <f t="shared" si="6"/>
        <v>46295</v>
      </c>
      <c r="AC22" s="53">
        <f>WORKDAY(AA22,1,[1]Hoja1!$A$1:$A$72)</f>
        <v>46296</v>
      </c>
      <c r="AD22" s="20">
        <f t="shared" si="7"/>
        <v>46296</v>
      </c>
      <c r="AE22" s="19">
        <f t="shared" si="8"/>
        <v>46296</v>
      </c>
      <c r="AF22" s="20">
        <f t="shared" si="9"/>
        <v>46296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69</v>
      </c>
      <c r="E23" s="50" t="s">
        <v>39</v>
      </c>
      <c r="F23" s="59" t="s">
        <v>28</v>
      </c>
      <c r="G23" s="52">
        <f>WORKDAY(J23,-1,[1]Hoja1!$A$1:$A$72)</f>
        <v>46253</v>
      </c>
      <c r="H23" s="55">
        <v>46223</v>
      </c>
      <c r="I23" s="54">
        <v>46223</v>
      </c>
      <c r="J23" s="65">
        <v>46254</v>
      </c>
      <c r="K23" s="54">
        <f t="shared" si="0"/>
        <v>46254</v>
      </c>
      <c r="L23" s="56">
        <f t="shared" si="1"/>
        <v>31</v>
      </c>
      <c r="M23" s="53">
        <f>WORKDAY(J23,1,[1]Hoja1!$A$1:$A$72)</f>
        <v>46255</v>
      </c>
      <c r="N23" s="57">
        <f t="shared" si="2"/>
        <v>46255</v>
      </c>
      <c r="O23" s="66">
        <v>46256</v>
      </c>
      <c r="P23" s="54">
        <f t="shared" si="3"/>
        <v>46256</v>
      </c>
      <c r="Q23" s="53">
        <f>WORKDAY(O23,1,[1]Hoja1!$A$1:$A$72)</f>
        <v>46258</v>
      </c>
      <c r="R23" s="54">
        <f t="shared" si="10"/>
        <v>46258</v>
      </c>
      <c r="S23" s="53">
        <f>WORKDAY(Q23,1,[1]Hoja1!$A$1:$A$72)</f>
        <v>46259</v>
      </c>
      <c r="T23" s="57">
        <f t="shared" si="11"/>
        <v>46259</v>
      </c>
      <c r="U23" s="53">
        <f t="shared" si="12"/>
        <v>46259</v>
      </c>
      <c r="V23" s="57">
        <f t="shared" si="13"/>
        <v>46259</v>
      </c>
      <c r="W23" s="53">
        <f t="shared" si="14"/>
        <v>46259</v>
      </c>
      <c r="X23" s="57">
        <f t="shared" si="15"/>
        <v>46259</v>
      </c>
      <c r="Y23" s="66">
        <v>46263</v>
      </c>
      <c r="Z23" s="57">
        <f t="shared" si="5"/>
        <v>46263</v>
      </c>
      <c r="AA23" s="53">
        <f>WORKDAY(Y23,10,[1]Hoja1!$A$1:$A$72)</f>
        <v>46276</v>
      </c>
      <c r="AB23" s="57">
        <f t="shared" si="6"/>
        <v>46276</v>
      </c>
      <c r="AC23" s="53">
        <f>WORKDAY(AA23,1,[1]Hoja1!$A$1:$A$72)</f>
        <v>46279</v>
      </c>
      <c r="AD23" s="54">
        <f t="shared" si="7"/>
        <v>46279</v>
      </c>
      <c r="AE23" s="53">
        <f t="shared" si="8"/>
        <v>46279</v>
      </c>
      <c r="AF23" s="54">
        <f t="shared" si="9"/>
        <v>46279</v>
      </c>
    </row>
    <row r="24" spans="2:32" s="1" customFormat="1" ht="15.95" customHeight="1" x14ac:dyDescent="0.2">
      <c r="B24" s="15">
        <v>67</v>
      </c>
      <c r="C24" s="15">
        <v>12</v>
      </c>
      <c r="D24" s="49" t="s">
        <v>81</v>
      </c>
      <c r="E24" s="16" t="s">
        <v>43</v>
      </c>
      <c r="F24" s="25" t="s">
        <v>31</v>
      </c>
      <c r="G24" s="52">
        <f>WORKDAY(J24,-1,[1]Hoja1!$A$1:$A$72)</f>
        <v>46254</v>
      </c>
      <c r="H24" s="55">
        <v>46192</v>
      </c>
      <c r="I24" s="54">
        <v>46192</v>
      </c>
      <c r="J24" s="65">
        <v>46255</v>
      </c>
      <c r="K24" s="54">
        <f>+J24</f>
        <v>46255</v>
      </c>
      <c r="L24" s="22">
        <f>(J24-H24)</f>
        <v>63</v>
      </c>
      <c r="M24" s="53">
        <f>WORKDAY(J24,1,[1]Hoja1!$A$1:$A$72)</f>
        <v>46258</v>
      </c>
      <c r="N24" s="23">
        <f>+M24</f>
        <v>46258</v>
      </c>
      <c r="O24" s="66">
        <v>46259</v>
      </c>
      <c r="P24" s="54">
        <f>+O24</f>
        <v>46259</v>
      </c>
      <c r="Q24" s="53">
        <f>+O24</f>
        <v>46259</v>
      </c>
      <c r="R24" s="20">
        <f>+Q24</f>
        <v>46259</v>
      </c>
      <c r="S24" s="53">
        <f>WORKDAY(Q24,1,[1]Hoja1!$A$1:$A$72)</f>
        <v>46260</v>
      </c>
      <c r="T24" s="23">
        <f>+S24</f>
        <v>46260</v>
      </c>
      <c r="U24" s="19">
        <f>+S24</f>
        <v>46260</v>
      </c>
      <c r="V24" s="23">
        <f>+U24</f>
        <v>46260</v>
      </c>
      <c r="W24" s="19">
        <f>+U24</f>
        <v>46260</v>
      </c>
      <c r="X24" s="23">
        <f>+W24</f>
        <v>46260</v>
      </c>
      <c r="Y24" s="66">
        <v>46262</v>
      </c>
      <c r="Z24" s="57">
        <f>+Y24</f>
        <v>46262</v>
      </c>
      <c r="AA24" s="53">
        <f>WORKDAY(Y24,23,[1]Hoja1!$A$1:$A$72)</f>
        <v>46295</v>
      </c>
      <c r="AB24" s="23">
        <f>AA24</f>
        <v>46295</v>
      </c>
      <c r="AC24" s="53">
        <f>WORKDAY(AA24,1,[1]Hoja1!$A$1:$A$72)</f>
        <v>46296</v>
      </c>
      <c r="AD24" s="20">
        <f>+AC24</f>
        <v>46296</v>
      </c>
      <c r="AE24" s="19">
        <f>+AC24</f>
        <v>46296</v>
      </c>
      <c r="AF24" s="20">
        <f>+AE24</f>
        <v>46296</v>
      </c>
    </row>
    <row r="25" spans="2:32" s="48" customFormat="1" ht="15.95" customHeight="1" x14ac:dyDescent="0.2">
      <c r="B25" s="49">
        <v>47</v>
      </c>
      <c r="C25" s="49">
        <v>11</v>
      </c>
      <c r="D25" s="49" t="s">
        <v>82</v>
      </c>
      <c r="E25" s="50" t="s">
        <v>39</v>
      </c>
      <c r="F25" s="59" t="s">
        <v>28</v>
      </c>
      <c r="G25" s="52">
        <f>WORKDAY(J25,-1,[1]Hoja1!$A$1:$A$72)</f>
        <v>46255</v>
      </c>
      <c r="H25" s="55">
        <v>46224</v>
      </c>
      <c r="I25" s="54">
        <v>46224</v>
      </c>
      <c r="J25" s="65">
        <v>46256</v>
      </c>
      <c r="K25" s="54">
        <f>+J25</f>
        <v>46256</v>
      </c>
      <c r="L25" s="56">
        <f>(J25-H25)</f>
        <v>32</v>
      </c>
      <c r="M25" s="53">
        <f>WORKDAY(J25,1,[1]Hoja1!$A$1:$A$72)</f>
        <v>46258</v>
      </c>
      <c r="N25" s="57">
        <f t="shared" si="2"/>
        <v>46258</v>
      </c>
      <c r="O25" s="66">
        <v>46260</v>
      </c>
      <c r="P25" s="54">
        <f t="shared" si="3"/>
        <v>46260</v>
      </c>
      <c r="Q25" s="53">
        <f>WORKDAY(O25,1,[1]Hoja1!$A$1:$A$72)</f>
        <v>46261</v>
      </c>
      <c r="R25" s="54">
        <f t="shared" si="10"/>
        <v>46261</v>
      </c>
      <c r="S25" s="53">
        <f>WORKDAY(Q25,1,[1]Hoja1!$A$1:$A$72)</f>
        <v>46262</v>
      </c>
      <c r="T25" s="57">
        <f t="shared" si="11"/>
        <v>46262</v>
      </c>
      <c r="U25" s="53">
        <f t="shared" si="12"/>
        <v>46262</v>
      </c>
      <c r="V25" s="57">
        <f t="shared" si="13"/>
        <v>46262</v>
      </c>
      <c r="W25" s="53">
        <f t="shared" si="14"/>
        <v>46262</v>
      </c>
      <c r="X25" s="57">
        <f t="shared" si="15"/>
        <v>46262</v>
      </c>
      <c r="Y25" s="66">
        <v>46266</v>
      </c>
      <c r="Z25" s="57">
        <f t="shared" si="5"/>
        <v>46266</v>
      </c>
      <c r="AA25" s="53">
        <f>WORKDAY(Y25,9,[1]Hoja1!$A$1:$A$72)</f>
        <v>46279</v>
      </c>
      <c r="AB25" s="57">
        <f t="shared" si="6"/>
        <v>46279</v>
      </c>
      <c r="AC25" s="53">
        <f>WORKDAY(AA25,1,[1]Hoja1!$A$1:$A$72)</f>
        <v>46280</v>
      </c>
      <c r="AD25" s="54">
        <f t="shared" si="7"/>
        <v>46280</v>
      </c>
      <c r="AE25" s="53">
        <f t="shared" si="8"/>
        <v>46280</v>
      </c>
      <c r="AF25" s="54">
        <f t="shared" si="9"/>
        <v>46280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81</v>
      </c>
      <c r="E26" s="50" t="s">
        <v>39</v>
      </c>
      <c r="F26" s="59" t="s">
        <v>28</v>
      </c>
      <c r="G26" s="52">
        <f>WORKDAY(J26,-1,[1]Hoja1!$A$1:$A$72)</f>
        <v>46255</v>
      </c>
      <c r="H26" s="55">
        <v>46226</v>
      </c>
      <c r="I26" s="54">
        <v>46226</v>
      </c>
      <c r="J26" s="65">
        <v>46258</v>
      </c>
      <c r="K26" s="54">
        <f>+J26</f>
        <v>46258</v>
      </c>
      <c r="L26" s="56">
        <f>(J26-H26)</f>
        <v>32</v>
      </c>
      <c r="M26" s="53">
        <f>WORKDAY(J26,1,[1]Hoja1!$A$1:$A$72)</f>
        <v>46259</v>
      </c>
      <c r="N26" s="57">
        <f t="shared" si="2"/>
        <v>46259</v>
      </c>
      <c r="O26" s="66">
        <v>46260</v>
      </c>
      <c r="P26" s="54">
        <f t="shared" si="3"/>
        <v>46260</v>
      </c>
      <c r="Q26" s="53">
        <f>WORKDAY(O26,1,[1]Hoja1!$A$1:$A$72)</f>
        <v>46261</v>
      </c>
      <c r="R26" s="54">
        <f t="shared" si="10"/>
        <v>46261</v>
      </c>
      <c r="S26" s="53">
        <f>WORKDAY(Q26,1,[1]Hoja1!$A$1:$A$72)</f>
        <v>46262</v>
      </c>
      <c r="T26" s="57">
        <f t="shared" si="11"/>
        <v>46262</v>
      </c>
      <c r="U26" s="53">
        <f t="shared" si="12"/>
        <v>46262</v>
      </c>
      <c r="V26" s="57">
        <f t="shared" si="13"/>
        <v>46262</v>
      </c>
      <c r="W26" s="53">
        <f t="shared" si="14"/>
        <v>46262</v>
      </c>
      <c r="X26" s="57">
        <f t="shared" si="15"/>
        <v>46262</v>
      </c>
      <c r="Y26" s="66">
        <v>46267</v>
      </c>
      <c r="Z26" s="57">
        <f t="shared" si="5"/>
        <v>46267</v>
      </c>
      <c r="AA26" s="53">
        <f>WORKDAY(Y26,9,[1]Hoja1!$A$1:$A$72)</f>
        <v>46280</v>
      </c>
      <c r="AB26" s="57">
        <f t="shared" si="6"/>
        <v>46280</v>
      </c>
      <c r="AC26" s="53">
        <f>WORKDAY(AA26,1,[1]Hoja1!$A$1:$A$72)</f>
        <v>46281</v>
      </c>
      <c r="AD26" s="54">
        <f t="shared" si="7"/>
        <v>46281</v>
      </c>
      <c r="AE26" s="53">
        <f t="shared" si="8"/>
        <v>46281</v>
      </c>
      <c r="AF26" s="54">
        <f t="shared" si="9"/>
        <v>46281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26</v>
      </c>
      <c r="E27" s="50" t="s">
        <v>39</v>
      </c>
      <c r="F27" s="59" t="s">
        <v>28</v>
      </c>
      <c r="G27" s="52">
        <f>WORKDAY(J27,-1,[1]Hoja1!$A$1:$A$72)</f>
        <v>46255</v>
      </c>
      <c r="H27" s="55">
        <v>46226</v>
      </c>
      <c r="I27" s="54">
        <v>46226</v>
      </c>
      <c r="J27" s="65">
        <v>46258</v>
      </c>
      <c r="K27" s="54">
        <f t="shared" si="0"/>
        <v>46258</v>
      </c>
      <c r="L27" s="56">
        <f t="shared" si="1"/>
        <v>32</v>
      </c>
      <c r="M27" s="53">
        <f>WORKDAY(J27,1,[1]Hoja1!$A$1:$A$72)</f>
        <v>46259</v>
      </c>
      <c r="N27" s="57">
        <f t="shared" si="2"/>
        <v>46259</v>
      </c>
      <c r="O27" s="66">
        <v>46260</v>
      </c>
      <c r="P27" s="54">
        <f t="shared" si="3"/>
        <v>46260</v>
      </c>
      <c r="Q27" s="53">
        <f>WORKDAY(O27,1,[1]Hoja1!$A$1:$A$72)</f>
        <v>46261</v>
      </c>
      <c r="R27" s="54">
        <f t="shared" si="10"/>
        <v>46261</v>
      </c>
      <c r="S27" s="53">
        <f>WORKDAY(Q27,1,[1]Hoja1!$A$1:$A$72)</f>
        <v>46262</v>
      </c>
      <c r="T27" s="57">
        <f t="shared" si="11"/>
        <v>46262</v>
      </c>
      <c r="U27" s="53">
        <f t="shared" si="12"/>
        <v>46262</v>
      </c>
      <c r="V27" s="57">
        <f t="shared" si="13"/>
        <v>46262</v>
      </c>
      <c r="W27" s="53">
        <f t="shared" si="14"/>
        <v>46262</v>
      </c>
      <c r="X27" s="57">
        <f t="shared" si="15"/>
        <v>46262</v>
      </c>
      <c r="Y27" s="66">
        <v>46267</v>
      </c>
      <c r="Z27" s="57">
        <f t="shared" si="5"/>
        <v>46267</v>
      </c>
      <c r="AA27" s="53">
        <f>WORKDAY(Y27,10,[1]Hoja1!$A$1:$A$72)</f>
        <v>46281</v>
      </c>
      <c r="AB27" s="57">
        <f t="shared" si="6"/>
        <v>46281</v>
      </c>
      <c r="AC27" s="53">
        <f>WORKDAY(AA27,1,[1]Hoja1!$A$1:$A$72)</f>
        <v>46282</v>
      </c>
      <c r="AD27" s="54">
        <f t="shared" si="7"/>
        <v>46282</v>
      </c>
      <c r="AE27" s="53">
        <f t="shared" si="8"/>
        <v>46282</v>
      </c>
      <c r="AF27" s="54">
        <f t="shared" si="9"/>
        <v>46282</v>
      </c>
    </row>
    <row r="28" spans="2:32" s="48" customFormat="1" ht="15" customHeight="1" x14ac:dyDescent="0.2">
      <c r="B28" s="49">
        <v>53</v>
      </c>
      <c r="C28" s="49">
        <v>11</v>
      </c>
      <c r="D28" s="49" t="s">
        <v>82</v>
      </c>
      <c r="E28" s="50" t="s">
        <v>39</v>
      </c>
      <c r="F28" s="59" t="s">
        <v>28</v>
      </c>
      <c r="G28" s="52">
        <f>WORKDAY(J28,-1,[1]Hoja1!$A$1:$A$72)</f>
        <v>46258</v>
      </c>
      <c r="H28" s="55">
        <v>46227</v>
      </c>
      <c r="I28" s="54">
        <v>46227</v>
      </c>
      <c r="J28" s="65">
        <v>46259</v>
      </c>
      <c r="K28" s="54">
        <f t="shared" si="0"/>
        <v>46259</v>
      </c>
      <c r="L28" s="56">
        <f t="shared" si="1"/>
        <v>32</v>
      </c>
      <c r="M28" s="53">
        <f>WORKDAY(J28,1,[1]Hoja1!$A$1:$A$72)</f>
        <v>46260</v>
      </c>
      <c r="N28" s="57">
        <f t="shared" si="2"/>
        <v>46260</v>
      </c>
      <c r="O28" s="66">
        <v>46261</v>
      </c>
      <c r="P28" s="54">
        <f t="shared" si="3"/>
        <v>46261</v>
      </c>
      <c r="Q28" s="53">
        <f>WORKDAY(O28,1,[1]Hoja1!$A$1:$A$72)</f>
        <v>46262</v>
      </c>
      <c r="R28" s="54">
        <f t="shared" si="10"/>
        <v>46262</v>
      </c>
      <c r="S28" s="53">
        <f>WORKDAY(Q28,1,[1]Hoja1!$A$1:$A$72)</f>
        <v>46265</v>
      </c>
      <c r="T28" s="57">
        <f t="shared" si="11"/>
        <v>46265</v>
      </c>
      <c r="U28" s="53">
        <f t="shared" si="12"/>
        <v>46265</v>
      </c>
      <c r="V28" s="57">
        <f t="shared" si="13"/>
        <v>46265</v>
      </c>
      <c r="W28" s="53">
        <f t="shared" si="14"/>
        <v>46265</v>
      </c>
      <c r="X28" s="57">
        <f t="shared" si="15"/>
        <v>46265</v>
      </c>
      <c r="Y28" s="66">
        <v>46269</v>
      </c>
      <c r="Z28" s="57">
        <f t="shared" si="5"/>
        <v>46269</v>
      </c>
      <c r="AA28" s="53">
        <f>WORKDAY(Y28,11,[1]Hoja1!$A$1:$A$72)</f>
        <v>46286</v>
      </c>
      <c r="AB28" s="57">
        <f t="shared" si="6"/>
        <v>46286</v>
      </c>
      <c r="AC28" s="53">
        <f>WORKDAY(AA28,1,[1]Hoja1!$A$1:$A$72)</f>
        <v>46287</v>
      </c>
      <c r="AD28" s="54">
        <f t="shared" si="7"/>
        <v>46287</v>
      </c>
      <c r="AE28" s="53">
        <f t="shared" si="8"/>
        <v>46287</v>
      </c>
      <c r="AF28" s="54">
        <f t="shared" si="9"/>
        <v>46287</v>
      </c>
    </row>
    <row r="29" spans="2:32" s="1" customFormat="1" ht="15.95" customHeight="1" x14ac:dyDescent="0.2">
      <c r="B29" s="15">
        <v>69</v>
      </c>
      <c r="C29" s="15">
        <v>11</v>
      </c>
      <c r="D29" s="15" t="s">
        <v>26</v>
      </c>
      <c r="E29" s="16" t="s">
        <v>39</v>
      </c>
      <c r="F29" s="25" t="s">
        <v>31</v>
      </c>
      <c r="G29" s="52">
        <f>WORKDAY(J29,-1,[1]Hoja1!$A$1:$A$72)</f>
        <v>46259</v>
      </c>
      <c r="H29" s="55">
        <v>46197</v>
      </c>
      <c r="I29" s="54">
        <v>46197</v>
      </c>
      <c r="J29" s="65">
        <v>46260</v>
      </c>
      <c r="K29" s="54">
        <f>+J29</f>
        <v>46260</v>
      </c>
      <c r="L29" s="22">
        <f>(J29-H29)</f>
        <v>63</v>
      </c>
      <c r="M29" s="53">
        <f>WORKDAY(J29,1,[1]Hoja1!$A$1:$A$72)</f>
        <v>46261</v>
      </c>
      <c r="N29" s="23">
        <f>+M29</f>
        <v>46261</v>
      </c>
      <c r="O29" s="66">
        <v>46262</v>
      </c>
      <c r="P29" s="54">
        <f>+O29</f>
        <v>46262</v>
      </c>
      <c r="Q29" s="53">
        <f>+O29</f>
        <v>46262</v>
      </c>
      <c r="R29" s="20">
        <f>+Q29</f>
        <v>46262</v>
      </c>
      <c r="S29" s="53">
        <f>WORKDAY(Q29,1,[1]Hoja1!$A$1:$A$72)</f>
        <v>46265</v>
      </c>
      <c r="T29" s="23">
        <f>+S29</f>
        <v>46265</v>
      </c>
      <c r="U29" s="19">
        <f>+S29</f>
        <v>46265</v>
      </c>
      <c r="V29" s="23">
        <f>+U29</f>
        <v>46265</v>
      </c>
      <c r="W29" s="19">
        <f>+U29</f>
        <v>46265</v>
      </c>
      <c r="X29" s="23">
        <f>+W29</f>
        <v>46265</v>
      </c>
      <c r="Y29" s="66">
        <v>46267</v>
      </c>
      <c r="Z29" s="57">
        <f>+Y29</f>
        <v>46267</v>
      </c>
      <c r="AA29" s="53">
        <f>WORKDAY(Y29,23,[1]Hoja1!$A$1:$A$72)</f>
        <v>46300</v>
      </c>
      <c r="AB29" s="23">
        <f>AA29</f>
        <v>46300</v>
      </c>
      <c r="AC29" s="53">
        <f>WORKDAY(AA29,1,[1]Hoja1!$A$1:$A$72)</f>
        <v>46301</v>
      </c>
      <c r="AD29" s="20">
        <f>+AC29</f>
        <v>46301</v>
      </c>
      <c r="AE29" s="19">
        <f>+AC29</f>
        <v>46301</v>
      </c>
      <c r="AF29" s="20">
        <f>+AE29</f>
        <v>46301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52">
        <f>WORKDAY(J30,-1,[1]Hoja1!$A$1:$A$72)</f>
        <v>46239</v>
      </c>
      <c r="H30" s="19">
        <v>46209</v>
      </c>
      <c r="I30" s="20">
        <v>46209</v>
      </c>
      <c r="J30" s="55">
        <v>46240</v>
      </c>
      <c r="K30" s="54">
        <f t="shared" si="0"/>
        <v>46240</v>
      </c>
      <c r="L30" s="56">
        <f t="shared" si="1"/>
        <v>31</v>
      </c>
      <c r="M30" s="19">
        <f>+J30</f>
        <v>46240</v>
      </c>
      <c r="N30" s="23">
        <f t="shared" si="2"/>
        <v>46240</v>
      </c>
      <c r="O30" s="19">
        <f>+J30</f>
        <v>46240</v>
      </c>
      <c r="P30" s="23">
        <f t="shared" si="3"/>
        <v>46240</v>
      </c>
      <c r="Q30" s="19">
        <f>+J30</f>
        <v>46240</v>
      </c>
      <c r="R30" s="20">
        <f>+Q30</f>
        <v>46240</v>
      </c>
      <c r="S30" s="19">
        <f>+J30</f>
        <v>46240</v>
      </c>
      <c r="T30" s="20">
        <f>+S30</f>
        <v>46240</v>
      </c>
      <c r="U30" s="19">
        <f>+J30</f>
        <v>46240</v>
      </c>
      <c r="V30" s="20">
        <f>+U30</f>
        <v>46240</v>
      </c>
      <c r="W30" s="19">
        <f>+J30</f>
        <v>46240</v>
      </c>
      <c r="X30" s="20">
        <f>+W30</f>
        <v>46240</v>
      </c>
      <c r="Y30" s="19">
        <f>+V30</f>
        <v>46240</v>
      </c>
      <c r="Z30" s="23">
        <f t="shared" si="5"/>
        <v>46240</v>
      </c>
      <c r="AA30" s="19">
        <v>46265</v>
      </c>
      <c r="AB30" s="20">
        <f t="shared" ref="AB30:AB47" si="17">+AA30</f>
        <v>46265</v>
      </c>
      <c r="AC30" s="53">
        <f>WORKDAY(AA30,1,[1]Hoja1!$A$1:$A$72)</f>
        <v>46266</v>
      </c>
      <c r="AD30" s="20">
        <f>+AC30</f>
        <v>46266</v>
      </c>
      <c r="AE30" s="19">
        <f>+AC30</f>
        <v>46266</v>
      </c>
      <c r="AF30" s="20">
        <f>+AE30</f>
        <v>46266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52">
        <f>WORKDAY(J31,-1,[1]Hoja1!$A$1:$A$72)</f>
        <v>46239</v>
      </c>
      <c r="H31" s="19">
        <v>46209</v>
      </c>
      <c r="I31" s="20">
        <v>46209</v>
      </c>
      <c r="J31" s="55">
        <v>46240</v>
      </c>
      <c r="K31" s="54">
        <f>+J31</f>
        <v>46240</v>
      </c>
      <c r="L31" s="56">
        <f>(J31-H31)</f>
        <v>31</v>
      </c>
      <c r="M31" s="19">
        <f>+J31</f>
        <v>46240</v>
      </c>
      <c r="N31" s="23">
        <f>+M31</f>
        <v>46240</v>
      </c>
      <c r="O31" s="19">
        <f t="shared" ref="O31:O49" si="18">+J31</f>
        <v>46240</v>
      </c>
      <c r="P31" s="23">
        <f>+O31</f>
        <v>46240</v>
      </c>
      <c r="Q31" s="19">
        <f>+J31</f>
        <v>46240</v>
      </c>
      <c r="R31" s="20">
        <f>+Q31</f>
        <v>46240</v>
      </c>
      <c r="S31" s="19">
        <f>+J31</f>
        <v>46240</v>
      </c>
      <c r="T31" s="20">
        <f>+S31</f>
        <v>46240</v>
      </c>
      <c r="U31" s="19">
        <f>+J31</f>
        <v>46240</v>
      </c>
      <c r="V31" s="20">
        <f>+U31</f>
        <v>46240</v>
      </c>
      <c r="W31" s="19">
        <f>+J31</f>
        <v>46240</v>
      </c>
      <c r="X31" s="20">
        <f>+W31</f>
        <v>46240</v>
      </c>
      <c r="Y31" s="19">
        <f>+V31</f>
        <v>46240</v>
      </c>
      <c r="Z31" s="23">
        <f>+Y31</f>
        <v>46240</v>
      </c>
      <c r="AA31" s="19">
        <v>46265</v>
      </c>
      <c r="AB31" s="20">
        <f>+AA31</f>
        <v>46265</v>
      </c>
      <c r="AC31" s="53">
        <f>WORKDAY(AA31,1,[1]Hoja1!$A$1:$A$72)</f>
        <v>46266</v>
      </c>
      <c r="AD31" s="20">
        <f>+AC31</f>
        <v>46266</v>
      </c>
      <c r="AE31" s="19">
        <f>+AC31</f>
        <v>46266</v>
      </c>
      <c r="AF31" s="20">
        <f>+AE31</f>
        <v>46266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52">
        <f>WORKDAY(J32,-1,[1]Hoja1!$A$1:$A$72)</f>
        <v>46239</v>
      </c>
      <c r="H32" s="19">
        <v>46209</v>
      </c>
      <c r="I32" s="20">
        <v>46209</v>
      </c>
      <c r="J32" s="55">
        <v>46240</v>
      </c>
      <c r="K32" s="54">
        <f>+J32</f>
        <v>46240</v>
      </c>
      <c r="L32" s="56">
        <f>(J32-H32)</f>
        <v>31</v>
      </c>
      <c r="M32" s="19">
        <f>+J32</f>
        <v>46240</v>
      </c>
      <c r="N32" s="23">
        <f>+M32</f>
        <v>46240</v>
      </c>
      <c r="O32" s="19">
        <f t="shared" si="18"/>
        <v>46240</v>
      </c>
      <c r="P32" s="23">
        <f>+O32</f>
        <v>46240</v>
      </c>
      <c r="Q32" s="19">
        <f>+J32</f>
        <v>46240</v>
      </c>
      <c r="R32" s="20">
        <f>+Q32</f>
        <v>46240</v>
      </c>
      <c r="S32" s="19">
        <f>+J32</f>
        <v>46240</v>
      </c>
      <c r="T32" s="20">
        <f>+S32</f>
        <v>46240</v>
      </c>
      <c r="U32" s="19">
        <f>+J32</f>
        <v>46240</v>
      </c>
      <c r="V32" s="20">
        <f>+U32</f>
        <v>46240</v>
      </c>
      <c r="W32" s="19">
        <f>+J32</f>
        <v>46240</v>
      </c>
      <c r="X32" s="20">
        <f>+W32</f>
        <v>46240</v>
      </c>
      <c r="Y32" s="19">
        <f>+V32</f>
        <v>46240</v>
      </c>
      <c r="Z32" s="23">
        <f>+Y32</f>
        <v>46240</v>
      </c>
      <c r="AA32" s="19">
        <v>46265</v>
      </c>
      <c r="AB32" s="20">
        <f>+AA32</f>
        <v>46265</v>
      </c>
      <c r="AC32" s="53">
        <f>WORKDAY(AA32,1,[1]Hoja1!$A$1:$A$72)</f>
        <v>46266</v>
      </c>
      <c r="AD32" s="20">
        <f>+AC32</f>
        <v>46266</v>
      </c>
      <c r="AE32" s="19">
        <f>+AC32</f>
        <v>46266</v>
      </c>
      <c r="AF32" s="20">
        <f>+AE32</f>
        <v>46266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52">
        <f>WORKDAY(J33,-1,[1]Hoja1!$A$1:$A$72)</f>
        <v>46240</v>
      </c>
      <c r="H33" s="19">
        <v>46213</v>
      </c>
      <c r="I33" s="20">
        <v>46213</v>
      </c>
      <c r="J33" s="55">
        <v>46244</v>
      </c>
      <c r="K33" s="54">
        <f t="shared" si="0"/>
        <v>46244</v>
      </c>
      <c r="L33" s="22">
        <f t="shared" si="1"/>
        <v>31</v>
      </c>
      <c r="M33" s="19">
        <f t="shared" ref="M33:M47" si="19">+J33</f>
        <v>46244</v>
      </c>
      <c r="N33" s="23">
        <f t="shared" si="2"/>
        <v>46244</v>
      </c>
      <c r="O33" s="19">
        <f t="shared" si="18"/>
        <v>46244</v>
      </c>
      <c r="P33" s="23">
        <f>+O33</f>
        <v>46244</v>
      </c>
      <c r="Q33" s="19">
        <f t="shared" ref="Q33:Q47" si="20">+J33</f>
        <v>46244</v>
      </c>
      <c r="R33" s="20">
        <f t="shared" ref="R33:R47" si="21">+Q33</f>
        <v>46244</v>
      </c>
      <c r="S33" s="19">
        <f t="shared" ref="S33:S47" si="22">+J33</f>
        <v>46244</v>
      </c>
      <c r="T33" s="20">
        <f t="shared" ref="T33:T47" si="23">+S33</f>
        <v>46244</v>
      </c>
      <c r="U33" s="19">
        <f t="shared" ref="U33:U47" si="24">+J33</f>
        <v>46244</v>
      </c>
      <c r="V33" s="20">
        <f t="shared" ref="V33:V47" si="25">+U33</f>
        <v>46244</v>
      </c>
      <c r="W33" s="19">
        <f t="shared" ref="W33:W47" si="26">+J33</f>
        <v>46244</v>
      </c>
      <c r="X33" s="20">
        <f t="shared" ref="X33:X47" si="27">+W33</f>
        <v>46244</v>
      </c>
      <c r="Y33" s="19">
        <f t="shared" ref="Y33:Y49" si="28">+V33</f>
        <v>46244</v>
      </c>
      <c r="Z33" s="23">
        <f t="shared" ref="Z33:Z47" si="29">+Y33</f>
        <v>46244</v>
      </c>
      <c r="AA33" s="19">
        <v>46252</v>
      </c>
      <c r="AB33" s="20">
        <f t="shared" si="17"/>
        <v>46252</v>
      </c>
      <c r="AC33" s="53">
        <f>WORKDAY(AA33,1,[1]Hoja1!$A$1:$A$72)</f>
        <v>46253</v>
      </c>
      <c r="AD33" s="20">
        <f t="shared" ref="AD33:AD47" si="30">+AC33</f>
        <v>46253</v>
      </c>
      <c r="AE33" s="19">
        <f t="shared" ref="AE33:AE47" si="31">+AC33</f>
        <v>46253</v>
      </c>
      <c r="AF33" s="20">
        <f t="shared" ref="AF33:AF47" si="32">+AE33</f>
        <v>46253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52">
        <f>WORKDAY(J34,-1,[1]Hoja1!$A$1:$A$72)</f>
        <v>46240</v>
      </c>
      <c r="H34" s="19">
        <v>46213</v>
      </c>
      <c r="I34" s="20">
        <v>46213</v>
      </c>
      <c r="J34" s="55">
        <v>46244</v>
      </c>
      <c r="K34" s="54">
        <f t="shared" si="0"/>
        <v>46244</v>
      </c>
      <c r="L34" s="22">
        <f t="shared" si="1"/>
        <v>31</v>
      </c>
      <c r="M34" s="19">
        <f t="shared" si="19"/>
        <v>46244</v>
      </c>
      <c r="N34" s="23">
        <f t="shared" si="2"/>
        <v>46244</v>
      </c>
      <c r="O34" s="19">
        <f t="shared" si="18"/>
        <v>46244</v>
      </c>
      <c r="P34" s="23">
        <f>+O34</f>
        <v>46244</v>
      </c>
      <c r="Q34" s="19">
        <f t="shared" si="20"/>
        <v>46244</v>
      </c>
      <c r="R34" s="20">
        <f t="shared" si="21"/>
        <v>46244</v>
      </c>
      <c r="S34" s="19">
        <f t="shared" si="22"/>
        <v>46244</v>
      </c>
      <c r="T34" s="20">
        <f t="shared" si="23"/>
        <v>46244</v>
      </c>
      <c r="U34" s="19">
        <f t="shared" si="24"/>
        <v>46244</v>
      </c>
      <c r="V34" s="20">
        <f t="shared" si="25"/>
        <v>46244</v>
      </c>
      <c r="W34" s="19">
        <f t="shared" si="26"/>
        <v>46244</v>
      </c>
      <c r="X34" s="20">
        <f t="shared" si="27"/>
        <v>46244</v>
      </c>
      <c r="Y34" s="19">
        <f t="shared" si="28"/>
        <v>46244</v>
      </c>
      <c r="Z34" s="23">
        <f t="shared" si="29"/>
        <v>46244</v>
      </c>
      <c r="AA34" s="19">
        <v>46252</v>
      </c>
      <c r="AB34" s="20">
        <f t="shared" si="17"/>
        <v>46252</v>
      </c>
      <c r="AC34" s="53">
        <f>WORKDAY(AA34,1,[1]Hoja1!$A$1:$A$72)</f>
        <v>46253</v>
      </c>
      <c r="AD34" s="20">
        <f t="shared" si="30"/>
        <v>46253</v>
      </c>
      <c r="AE34" s="19">
        <f t="shared" si="31"/>
        <v>46253</v>
      </c>
      <c r="AF34" s="20">
        <f t="shared" si="32"/>
        <v>46253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52">
        <f>WORKDAY(J35,-1,[1]Hoja1!$A$1:$A$72)</f>
        <v>46247</v>
      </c>
      <c r="H35" s="19">
        <v>46218</v>
      </c>
      <c r="I35" s="20">
        <v>46218</v>
      </c>
      <c r="J35" s="55">
        <v>46248</v>
      </c>
      <c r="K35" s="54">
        <f t="shared" si="0"/>
        <v>46248</v>
      </c>
      <c r="L35" s="22">
        <f t="shared" si="1"/>
        <v>30</v>
      </c>
      <c r="M35" s="19">
        <f t="shared" si="19"/>
        <v>46248</v>
      </c>
      <c r="N35" s="23">
        <f t="shared" si="2"/>
        <v>46248</v>
      </c>
      <c r="O35" s="19">
        <f t="shared" si="18"/>
        <v>46248</v>
      </c>
      <c r="P35" s="23">
        <f t="shared" si="3"/>
        <v>46248</v>
      </c>
      <c r="Q35" s="19">
        <f t="shared" si="20"/>
        <v>46248</v>
      </c>
      <c r="R35" s="20">
        <f t="shared" si="21"/>
        <v>46248</v>
      </c>
      <c r="S35" s="19">
        <f t="shared" si="22"/>
        <v>46248</v>
      </c>
      <c r="T35" s="20">
        <f t="shared" si="23"/>
        <v>46248</v>
      </c>
      <c r="U35" s="19">
        <f t="shared" si="24"/>
        <v>46248</v>
      </c>
      <c r="V35" s="20">
        <f t="shared" si="25"/>
        <v>46248</v>
      </c>
      <c r="W35" s="19">
        <f t="shared" si="26"/>
        <v>46248</v>
      </c>
      <c r="X35" s="20">
        <f t="shared" si="27"/>
        <v>46248</v>
      </c>
      <c r="Y35" s="19">
        <f t="shared" si="28"/>
        <v>46248</v>
      </c>
      <c r="Z35" s="23">
        <f t="shared" si="29"/>
        <v>46248</v>
      </c>
      <c r="AA35" s="19">
        <v>46277</v>
      </c>
      <c r="AB35" s="20">
        <f t="shared" si="17"/>
        <v>46277</v>
      </c>
      <c r="AC35" s="53">
        <f>WORKDAY(AA35,1,[1]Hoja1!$A$1:$A$72)</f>
        <v>46279</v>
      </c>
      <c r="AD35" s="20">
        <f t="shared" si="30"/>
        <v>46279</v>
      </c>
      <c r="AE35" s="19">
        <f t="shared" si="31"/>
        <v>46279</v>
      </c>
      <c r="AF35" s="20">
        <f t="shared" si="32"/>
        <v>46279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52">
        <f>WORKDAY(J36,-1,[1]Hoja1!$A$1:$A$72)</f>
        <v>46247</v>
      </c>
      <c r="H36" s="19">
        <v>46218</v>
      </c>
      <c r="I36" s="20">
        <v>46218</v>
      </c>
      <c r="J36" s="55">
        <v>46248</v>
      </c>
      <c r="K36" s="54">
        <f t="shared" si="0"/>
        <v>46248</v>
      </c>
      <c r="L36" s="22">
        <f t="shared" si="1"/>
        <v>30</v>
      </c>
      <c r="M36" s="19">
        <f t="shared" si="19"/>
        <v>46248</v>
      </c>
      <c r="N36" s="23">
        <f t="shared" si="2"/>
        <v>46248</v>
      </c>
      <c r="O36" s="19">
        <f t="shared" si="18"/>
        <v>46248</v>
      </c>
      <c r="P36" s="23">
        <f t="shared" si="3"/>
        <v>46248</v>
      </c>
      <c r="Q36" s="19">
        <f t="shared" si="20"/>
        <v>46248</v>
      </c>
      <c r="R36" s="20">
        <f t="shared" si="21"/>
        <v>46248</v>
      </c>
      <c r="S36" s="19">
        <f t="shared" si="22"/>
        <v>46248</v>
      </c>
      <c r="T36" s="20">
        <f t="shared" si="23"/>
        <v>46248</v>
      </c>
      <c r="U36" s="19">
        <f t="shared" si="24"/>
        <v>46248</v>
      </c>
      <c r="V36" s="20">
        <f t="shared" si="25"/>
        <v>46248</v>
      </c>
      <c r="W36" s="19">
        <f t="shared" si="26"/>
        <v>46248</v>
      </c>
      <c r="X36" s="20">
        <f t="shared" si="27"/>
        <v>46248</v>
      </c>
      <c r="Y36" s="19">
        <f t="shared" si="28"/>
        <v>46248</v>
      </c>
      <c r="Z36" s="23">
        <f t="shared" si="29"/>
        <v>46248</v>
      </c>
      <c r="AA36" s="19">
        <v>46277</v>
      </c>
      <c r="AB36" s="20">
        <f t="shared" si="17"/>
        <v>46277</v>
      </c>
      <c r="AC36" s="53">
        <f>WORKDAY(AA36,1,[1]Hoja1!$A$1:$A$72)</f>
        <v>46279</v>
      </c>
      <c r="AD36" s="20">
        <f t="shared" si="30"/>
        <v>46279</v>
      </c>
      <c r="AE36" s="19">
        <f t="shared" si="31"/>
        <v>46279</v>
      </c>
      <c r="AF36" s="20">
        <f t="shared" si="32"/>
        <v>46279</v>
      </c>
    </row>
    <row r="37" spans="2:32" s="1" customFormat="1" ht="15.95" customHeight="1" x14ac:dyDescent="0.25">
      <c r="B37" s="29">
        <v>92</v>
      </c>
      <c r="C37" s="31">
        <v>11</v>
      </c>
      <c r="D37" s="31" t="s">
        <v>51</v>
      </c>
      <c r="E37" s="32" t="s">
        <v>59</v>
      </c>
      <c r="F37" s="25" t="s">
        <v>28</v>
      </c>
      <c r="G37" s="52">
        <f>WORKDAY(J37,-1,[1]Hoja1!$A$1:$A$72)</f>
        <v>46248</v>
      </c>
      <c r="H37" s="19">
        <v>46218</v>
      </c>
      <c r="I37" s="20">
        <v>46218</v>
      </c>
      <c r="J37" s="55">
        <v>46252</v>
      </c>
      <c r="K37" s="54">
        <f t="shared" si="0"/>
        <v>46252</v>
      </c>
      <c r="L37" s="22">
        <f t="shared" si="1"/>
        <v>34</v>
      </c>
      <c r="M37" s="19">
        <f t="shared" si="19"/>
        <v>46252</v>
      </c>
      <c r="N37" s="23">
        <f t="shared" si="2"/>
        <v>46252</v>
      </c>
      <c r="O37" s="19">
        <f t="shared" si="18"/>
        <v>46252</v>
      </c>
      <c r="P37" s="23">
        <f t="shared" si="3"/>
        <v>46252</v>
      </c>
      <c r="Q37" s="19">
        <f t="shared" si="20"/>
        <v>46252</v>
      </c>
      <c r="R37" s="20">
        <f t="shared" si="21"/>
        <v>46252</v>
      </c>
      <c r="S37" s="19">
        <f t="shared" si="22"/>
        <v>46252</v>
      </c>
      <c r="T37" s="20">
        <f t="shared" si="23"/>
        <v>46252</v>
      </c>
      <c r="U37" s="19">
        <f t="shared" si="24"/>
        <v>46252</v>
      </c>
      <c r="V37" s="20">
        <f t="shared" si="25"/>
        <v>46252</v>
      </c>
      <c r="W37" s="19">
        <f t="shared" si="26"/>
        <v>46252</v>
      </c>
      <c r="X37" s="20">
        <f t="shared" si="27"/>
        <v>46252</v>
      </c>
      <c r="Y37" s="19">
        <f t="shared" si="28"/>
        <v>46252</v>
      </c>
      <c r="Z37" s="23">
        <f t="shared" si="29"/>
        <v>46252</v>
      </c>
      <c r="AA37" s="19">
        <v>46259</v>
      </c>
      <c r="AB37" s="20">
        <f t="shared" si="17"/>
        <v>46259</v>
      </c>
      <c r="AC37" s="53">
        <f>WORKDAY(AA37,1,[1]Hoja1!$A$1:$A$72)</f>
        <v>46260</v>
      </c>
      <c r="AD37" s="20">
        <f t="shared" si="30"/>
        <v>46260</v>
      </c>
      <c r="AE37" s="19">
        <f t="shared" si="31"/>
        <v>46260</v>
      </c>
      <c r="AF37" s="20">
        <f t="shared" si="32"/>
        <v>46260</v>
      </c>
    </row>
    <row r="38" spans="2:32" s="1" customFormat="1" ht="15.95" customHeight="1" x14ac:dyDescent="0.25">
      <c r="B38" s="29">
        <v>93</v>
      </c>
      <c r="C38" s="31">
        <v>11</v>
      </c>
      <c r="D38" s="31" t="s">
        <v>60</v>
      </c>
      <c r="E38" s="32" t="s">
        <v>61</v>
      </c>
      <c r="F38" s="25" t="s">
        <v>28</v>
      </c>
      <c r="G38" s="52">
        <f>WORKDAY(J38,-1,[1]Hoja1!$A$1:$A$72)</f>
        <v>46247</v>
      </c>
      <c r="H38" s="19">
        <v>46218</v>
      </c>
      <c r="I38" s="20">
        <v>46218</v>
      </c>
      <c r="J38" s="55">
        <v>46248</v>
      </c>
      <c r="K38" s="54">
        <f t="shared" si="0"/>
        <v>46248</v>
      </c>
      <c r="L38" s="22">
        <f t="shared" si="1"/>
        <v>30</v>
      </c>
      <c r="M38" s="19">
        <f t="shared" si="19"/>
        <v>46248</v>
      </c>
      <c r="N38" s="23">
        <f t="shared" si="2"/>
        <v>46248</v>
      </c>
      <c r="O38" s="19">
        <f t="shared" si="18"/>
        <v>46248</v>
      </c>
      <c r="P38" s="23">
        <f t="shared" si="3"/>
        <v>46248</v>
      </c>
      <c r="Q38" s="19">
        <f t="shared" si="20"/>
        <v>46248</v>
      </c>
      <c r="R38" s="20">
        <f t="shared" si="21"/>
        <v>46248</v>
      </c>
      <c r="S38" s="19">
        <f t="shared" si="22"/>
        <v>46248</v>
      </c>
      <c r="T38" s="20">
        <f t="shared" si="23"/>
        <v>46248</v>
      </c>
      <c r="U38" s="19">
        <f t="shared" si="24"/>
        <v>46248</v>
      </c>
      <c r="V38" s="20">
        <f t="shared" si="25"/>
        <v>46248</v>
      </c>
      <c r="W38" s="19">
        <f t="shared" si="26"/>
        <v>46248</v>
      </c>
      <c r="X38" s="20">
        <f t="shared" si="27"/>
        <v>46248</v>
      </c>
      <c r="Y38" s="19">
        <f t="shared" si="28"/>
        <v>46248</v>
      </c>
      <c r="Z38" s="23">
        <f t="shared" si="29"/>
        <v>46248</v>
      </c>
      <c r="AA38" s="19">
        <v>46275</v>
      </c>
      <c r="AB38" s="20">
        <f t="shared" si="17"/>
        <v>46275</v>
      </c>
      <c r="AC38" s="53">
        <f>WORKDAY(AA38,1,[1]Hoja1!$A$1:$A$72)</f>
        <v>46276</v>
      </c>
      <c r="AD38" s="20">
        <f t="shared" si="30"/>
        <v>46276</v>
      </c>
      <c r="AE38" s="19">
        <f t="shared" si="31"/>
        <v>46276</v>
      </c>
      <c r="AF38" s="20">
        <f t="shared" si="32"/>
        <v>46276</v>
      </c>
    </row>
    <row r="39" spans="2:32" s="1" customFormat="1" ht="15.95" customHeight="1" x14ac:dyDescent="0.25">
      <c r="B39" s="29">
        <v>89</v>
      </c>
      <c r="C39" s="31">
        <v>11</v>
      </c>
      <c r="D39" s="31" t="s">
        <v>47</v>
      </c>
      <c r="E39" s="32" t="s">
        <v>62</v>
      </c>
      <c r="F39" s="25" t="s">
        <v>28</v>
      </c>
      <c r="G39" s="52">
        <f>WORKDAY(J39,-1,[1]Hoja1!$A$1:$A$72)</f>
        <v>46248</v>
      </c>
      <c r="H39" s="19">
        <v>46219</v>
      </c>
      <c r="I39" s="20">
        <v>46219</v>
      </c>
      <c r="J39" s="55">
        <v>46252</v>
      </c>
      <c r="K39" s="54">
        <f t="shared" si="0"/>
        <v>46252</v>
      </c>
      <c r="L39" s="22">
        <f t="shared" si="1"/>
        <v>33</v>
      </c>
      <c r="M39" s="19">
        <f t="shared" si="19"/>
        <v>46252</v>
      </c>
      <c r="N39" s="23">
        <f t="shared" si="2"/>
        <v>46252</v>
      </c>
      <c r="O39" s="19">
        <f t="shared" si="18"/>
        <v>46252</v>
      </c>
      <c r="P39" s="23">
        <f t="shared" si="3"/>
        <v>46252</v>
      </c>
      <c r="Q39" s="19">
        <f t="shared" si="20"/>
        <v>46252</v>
      </c>
      <c r="R39" s="20">
        <f t="shared" si="21"/>
        <v>46252</v>
      </c>
      <c r="S39" s="19">
        <f t="shared" si="22"/>
        <v>46252</v>
      </c>
      <c r="T39" s="20">
        <f t="shared" si="23"/>
        <v>46252</v>
      </c>
      <c r="U39" s="19">
        <f t="shared" si="24"/>
        <v>46252</v>
      </c>
      <c r="V39" s="20">
        <f t="shared" si="25"/>
        <v>46252</v>
      </c>
      <c r="W39" s="19">
        <f t="shared" si="26"/>
        <v>46252</v>
      </c>
      <c r="X39" s="20">
        <f t="shared" si="27"/>
        <v>46252</v>
      </c>
      <c r="Y39" s="19">
        <f t="shared" si="28"/>
        <v>46252</v>
      </c>
      <c r="Z39" s="23">
        <f t="shared" si="29"/>
        <v>46252</v>
      </c>
      <c r="AA39" s="19">
        <v>46275</v>
      </c>
      <c r="AB39" s="20">
        <f t="shared" si="17"/>
        <v>46275</v>
      </c>
      <c r="AC39" s="53">
        <f>WORKDAY(AA39,1,[1]Hoja1!$A$1:$A$72)</f>
        <v>46276</v>
      </c>
      <c r="AD39" s="20">
        <f t="shared" si="30"/>
        <v>46276</v>
      </c>
      <c r="AE39" s="19">
        <f t="shared" si="31"/>
        <v>46276</v>
      </c>
      <c r="AF39" s="20">
        <f t="shared" si="32"/>
        <v>46276</v>
      </c>
    </row>
    <row r="40" spans="2:32" s="1" customFormat="1" ht="15.95" customHeight="1" x14ac:dyDescent="0.25">
      <c r="B40" s="29">
        <v>81</v>
      </c>
      <c r="C40" s="31">
        <v>11</v>
      </c>
      <c r="D40" s="31" t="s">
        <v>69</v>
      </c>
      <c r="E40" s="32" t="s">
        <v>63</v>
      </c>
      <c r="F40" s="25" t="s">
        <v>28</v>
      </c>
      <c r="G40" s="52">
        <f>+J40</f>
        <v>46255</v>
      </c>
      <c r="H40" s="19">
        <v>46224</v>
      </c>
      <c r="I40" s="20">
        <v>46224</v>
      </c>
      <c r="J40" s="65">
        <v>46255</v>
      </c>
      <c r="K40" s="54">
        <f t="shared" si="0"/>
        <v>46255</v>
      </c>
      <c r="L40" s="22">
        <f t="shared" si="1"/>
        <v>31</v>
      </c>
      <c r="M40" s="19">
        <f t="shared" si="19"/>
        <v>46255</v>
      </c>
      <c r="N40" s="23">
        <f t="shared" si="2"/>
        <v>46255</v>
      </c>
      <c r="O40" s="19">
        <f t="shared" si="18"/>
        <v>46255</v>
      </c>
      <c r="P40" s="23">
        <f t="shared" si="3"/>
        <v>46255</v>
      </c>
      <c r="Q40" s="19">
        <f t="shared" si="20"/>
        <v>46255</v>
      </c>
      <c r="R40" s="20">
        <f t="shared" si="21"/>
        <v>46255</v>
      </c>
      <c r="S40" s="19">
        <f t="shared" si="22"/>
        <v>46255</v>
      </c>
      <c r="T40" s="20">
        <f t="shared" si="23"/>
        <v>46255</v>
      </c>
      <c r="U40" s="19">
        <f t="shared" si="24"/>
        <v>46255</v>
      </c>
      <c r="V40" s="20">
        <f t="shared" si="25"/>
        <v>46255</v>
      </c>
      <c r="W40" s="19">
        <f t="shared" si="26"/>
        <v>46255</v>
      </c>
      <c r="X40" s="20">
        <f t="shared" si="27"/>
        <v>46255</v>
      </c>
      <c r="Y40" s="19">
        <f t="shared" si="28"/>
        <v>46255</v>
      </c>
      <c r="Z40" s="23">
        <f t="shared" si="29"/>
        <v>46255</v>
      </c>
      <c r="AA40" s="19">
        <v>46283</v>
      </c>
      <c r="AB40" s="20">
        <f>+AA40</f>
        <v>46283</v>
      </c>
      <c r="AC40" s="53">
        <f>WORKDAY(AA40,1,[1]Hoja1!$A$1:$A$72)</f>
        <v>46286</v>
      </c>
      <c r="AD40" s="20">
        <f t="shared" si="30"/>
        <v>46286</v>
      </c>
      <c r="AE40" s="19">
        <f t="shared" si="31"/>
        <v>46286</v>
      </c>
      <c r="AF40" s="20">
        <f t="shared" si="32"/>
        <v>46286</v>
      </c>
    </row>
    <row r="41" spans="2:32" s="1" customFormat="1" ht="15.95" customHeight="1" x14ac:dyDescent="0.25">
      <c r="B41" s="29">
        <v>79</v>
      </c>
      <c r="C41" s="31">
        <v>11</v>
      </c>
      <c r="D41" s="31" t="s">
        <v>47</v>
      </c>
      <c r="E41" s="32" t="s">
        <v>64</v>
      </c>
      <c r="F41" s="25" t="s">
        <v>28</v>
      </c>
      <c r="G41" s="52">
        <f>WORKDAY(J41,-1,[1]Hoja1!$A$1:$A$72)</f>
        <v>46255</v>
      </c>
      <c r="H41" s="19">
        <v>46227</v>
      </c>
      <c r="I41" s="20">
        <v>46227</v>
      </c>
      <c r="J41" s="55">
        <v>46258</v>
      </c>
      <c r="K41" s="54">
        <f t="shared" si="0"/>
        <v>46258</v>
      </c>
      <c r="L41" s="22">
        <f t="shared" si="1"/>
        <v>31</v>
      </c>
      <c r="M41" s="19">
        <f t="shared" si="19"/>
        <v>46258</v>
      </c>
      <c r="N41" s="23">
        <f t="shared" si="2"/>
        <v>46258</v>
      </c>
      <c r="O41" s="19">
        <f t="shared" si="18"/>
        <v>46258</v>
      </c>
      <c r="P41" s="23">
        <f t="shared" si="3"/>
        <v>46258</v>
      </c>
      <c r="Q41" s="19">
        <f t="shared" si="20"/>
        <v>46258</v>
      </c>
      <c r="R41" s="20">
        <f t="shared" si="21"/>
        <v>46258</v>
      </c>
      <c r="S41" s="19">
        <f t="shared" si="22"/>
        <v>46258</v>
      </c>
      <c r="T41" s="20">
        <f t="shared" si="23"/>
        <v>46258</v>
      </c>
      <c r="U41" s="19">
        <f t="shared" si="24"/>
        <v>46258</v>
      </c>
      <c r="V41" s="20">
        <f t="shared" si="25"/>
        <v>46258</v>
      </c>
      <c r="W41" s="19">
        <f t="shared" si="26"/>
        <v>46258</v>
      </c>
      <c r="X41" s="20">
        <f t="shared" si="27"/>
        <v>46258</v>
      </c>
      <c r="Y41" s="19">
        <f t="shared" si="28"/>
        <v>46258</v>
      </c>
      <c r="Z41" s="23">
        <f t="shared" si="29"/>
        <v>46258</v>
      </c>
      <c r="AA41" s="19">
        <v>46283</v>
      </c>
      <c r="AB41" s="20">
        <f t="shared" si="17"/>
        <v>46283</v>
      </c>
      <c r="AC41" s="53">
        <f>WORKDAY(AA41,1,[1]Hoja1!$A$1:$A$72)</f>
        <v>46286</v>
      </c>
      <c r="AD41" s="20">
        <f t="shared" si="30"/>
        <v>46286</v>
      </c>
      <c r="AE41" s="19">
        <f t="shared" si="31"/>
        <v>46286</v>
      </c>
      <c r="AF41" s="20">
        <f t="shared" si="32"/>
        <v>46286</v>
      </c>
    </row>
    <row r="42" spans="2:32" s="1" customFormat="1" ht="15.95" customHeight="1" x14ac:dyDescent="0.25">
      <c r="B42" s="29">
        <v>79</v>
      </c>
      <c r="C42" s="31">
        <v>12</v>
      </c>
      <c r="D42" s="31" t="s">
        <v>47</v>
      </c>
      <c r="E42" s="32" t="s">
        <v>64</v>
      </c>
      <c r="F42" s="25" t="s">
        <v>28</v>
      </c>
      <c r="G42" s="52">
        <f>WORKDAY(J42,-1,[1]Hoja1!$A$1:$A$72)</f>
        <v>46255</v>
      </c>
      <c r="H42" s="19">
        <v>46227</v>
      </c>
      <c r="I42" s="20">
        <v>46227</v>
      </c>
      <c r="J42" s="55">
        <v>46258</v>
      </c>
      <c r="K42" s="54">
        <f>+J42</f>
        <v>46258</v>
      </c>
      <c r="L42" s="22">
        <f>(J42-H42)</f>
        <v>31</v>
      </c>
      <c r="M42" s="19">
        <f>+J42</f>
        <v>46258</v>
      </c>
      <c r="N42" s="23">
        <f>+M42</f>
        <v>46258</v>
      </c>
      <c r="O42" s="19">
        <f>+J42</f>
        <v>46258</v>
      </c>
      <c r="P42" s="23">
        <f>+O42</f>
        <v>46258</v>
      </c>
      <c r="Q42" s="19">
        <f>+J42</f>
        <v>46258</v>
      </c>
      <c r="R42" s="20">
        <f>+Q42</f>
        <v>46258</v>
      </c>
      <c r="S42" s="19">
        <f>+J42</f>
        <v>46258</v>
      </c>
      <c r="T42" s="20">
        <f>+S42</f>
        <v>46258</v>
      </c>
      <c r="U42" s="19">
        <f>+J42</f>
        <v>46258</v>
      </c>
      <c r="V42" s="20">
        <f>+U42</f>
        <v>46258</v>
      </c>
      <c r="W42" s="19">
        <f>+J42</f>
        <v>46258</v>
      </c>
      <c r="X42" s="20">
        <f>+W42</f>
        <v>46258</v>
      </c>
      <c r="Y42" s="19">
        <f>+V42</f>
        <v>46258</v>
      </c>
      <c r="Z42" s="23">
        <f>+Y42</f>
        <v>46258</v>
      </c>
      <c r="AA42" s="19">
        <v>46283</v>
      </c>
      <c r="AB42" s="20">
        <f>+AA42</f>
        <v>46283</v>
      </c>
      <c r="AC42" s="53">
        <f>WORKDAY(AA42,1,[1]Hoja1!$A$1:$A$72)</f>
        <v>46286</v>
      </c>
      <c r="AD42" s="20">
        <f>+AC42</f>
        <v>46286</v>
      </c>
      <c r="AE42" s="19">
        <f>+AC42</f>
        <v>46286</v>
      </c>
      <c r="AF42" s="20">
        <f>+AE42</f>
        <v>46286</v>
      </c>
    </row>
    <row r="43" spans="2:32" s="1" customFormat="1" ht="15.95" customHeight="1" x14ac:dyDescent="0.25">
      <c r="B43" s="29">
        <v>79</v>
      </c>
      <c r="C43" s="31">
        <v>13</v>
      </c>
      <c r="D43" s="31" t="s">
        <v>47</v>
      </c>
      <c r="E43" s="32" t="s">
        <v>64</v>
      </c>
      <c r="F43" s="25" t="s">
        <v>28</v>
      </c>
      <c r="G43" s="52">
        <f>WORKDAY(J43,-1,[1]Hoja1!$A$1:$A$72)</f>
        <v>46255</v>
      </c>
      <c r="H43" s="19">
        <v>46227</v>
      </c>
      <c r="I43" s="20">
        <v>46227</v>
      </c>
      <c r="J43" s="55">
        <v>46258</v>
      </c>
      <c r="K43" s="54">
        <f>+J43</f>
        <v>46258</v>
      </c>
      <c r="L43" s="22">
        <f>(J43-H43)</f>
        <v>31</v>
      </c>
      <c r="M43" s="19">
        <f>+J43</f>
        <v>46258</v>
      </c>
      <c r="N43" s="23">
        <f>+M43</f>
        <v>46258</v>
      </c>
      <c r="O43" s="19">
        <f>+J43</f>
        <v>46258</v>
      </c>
      <c r="P43" s="23">
        <f>+O43</f>
        <v>46258</v>
      </c>
      <c r="Q43" s="19">
        <f>+J43</f>
        <v>46258</v>
      </c>
      <c r="R43" s="20">
        <f>+Q43</f>
        <v>46258</v>
      </c>
      <c r="S43" s="19">
        <f>+J43</f>
        <v>46258</v>
      </c>
      <c r="T43" s="20">
        <f>+S43</f>
        <v>46258</v>
      </c>
      <c r="U43" s="19">
        <f>+J43</f>
        <v>46258</v>
      </c>
      <c r="V43" s="20">
        <f>+U43</f>
        <v>46258</v>
      </c>
      <c r="W43" s="19">
        <f>+J43</f>
        <v>46258</v>
      </c>
      <c r="X43" s="20">
        <f>+W43</f>
        <v>46258</v>
      </c>
      <c r="Y43" s="19">
        <f>+V43</f>
        <v>46258</v>
      </c>
      <c r="Z43" s="23">
        <f>+Y43</f>
        <v>46258</v>
      </c>
      <c r="AA43" s="19">
        <v>46283</v>
      </c>
      <c r="AB43" s="20">
        <f>+AA43</f>
        <v>46283</v>
      </c>
      <c r="AC43" s="53">
        <f>WORKDAY(AA43,1,[1]Hoja1!$A$1:$A$72)</f>
        <v>46286</v>
      </c>
      <c r="AD43" s="20">
        <f>+AC43</f>
        <v>46286</v>
      </c>
      <c r="AE43" s="19">
        <f>+AC43</f>
        <v>46286</v>
      </c>
      <c r="AF43" s="20">
        <f>+AE43</f>
        <v>46286</v>
      </c>
    </row>
    <row r="44" spans="2:32" s="1" customFormat="1" ht="15.95" customHeight="1" x14ac:dyDescent="0.25">
      <c r="B44" s="29">
        <v>95</v>
      </c>
      <c r="C44" s="30" t="s">
        <v>46</v>
      </c>
      <c r="D44" s="31" t="s">
        <v>60</v>
      </c>
      <c r="E44" s="32" t="s">
        <v>65</v>
      </c>
      <c r="F44" s="25" t="s">
        <v>28</v>
      </c>
      <c r="G44" s="52">
        <f>WORKDAY(J44,-1,[1]Hoja1!$A$1:$A$72)</f>
        <v>46261</v>
      </c>
      <c r="H44" s="19">
        <v>46233</v>
      </c>
      <c r="I44" s="20">
        <v>46233</v>
      </c>
      <c r="J44" s="55">
        <v>46262</v>
      </c>
      <c r="K44" s="54">
        <f t="shared" si="0"/>
        <v>46262</v>
      </c>
      <c r="L44" s="22">
        <f t="shared" si="1"/>
        <v>29</v>
      </c>
      <c r="M44" s="19">
        <f t="shared" si="19"/>
        <v>46262</v>
      </c>
      <c r="N44" s="23">
        <f t="shared" si="2"/>
        <v>46262</v>
      </c>
      <c r="O44" s="19">
        <f t="shared" si="18"/>
        <v>46262</v>
      </c>
      <c r="P44" s="23">
        <f t="shared" si="3"/>
        <v>46262</v>
      </c>
      <c r="Q44" s="19">
        <f t="shared" si="20"/>
        <v>46262</v>
      </c>
      <c r="R44" s="20">
        <f t="shared" si="21"/>
        <v>46262</v>
      </c>
      <c r="S44" s="19">
        <f t="shared" si="22"/>
        <v>46262</v>
      </c>
      <c r="T44" s="20">
        <f t="shared" si="23"/>
        <v>46262</v>
      </c>
      <c r="U44" s="19">
        <f t="shared" si="24"/>
        <v>46262</v>
      </c>
      <c r="V44" s="20">
        <f t="shared" si="25"/>
        <v>46262</v>
      </c>
      <c r="W44" s="19">
        <f t="shared" si="26"/>
        <v>46262</v>
      </c>
      <c r="X44" s="20">
        <f t="shared" si="27"/>
        <v>46262</v>
      </c>
      <c r="Y44" s="19">
        <f t="shared" si="28"/>
        <v>46262</v>
      </c>
      <c r="Z44" s="23">
        <f t="shared" si="29"/>
        <v>46262</v>
      </c>
      <c r="AA44" s="19">
        <v>46283</v>
      </c>
      <c r="AB44" s="20">
        <f t="shared" si="17"/>
        <v>46283</v>
      </c>
      <c r="AC44" s="53">
        <f>WORKDAY(AA44,1,[1]Hoja1!$A$1:$A$72)</f>
        <v>46286</v>
      </c>
      <c r="AD44" s="20">
        <f t="shared" si="30"/>
        <v>46286</v>
      </c>
      <c r="AE44" s="19">
        <f t="shared" si="31"/>
        <v>46286</v>
      </c>
      <c r="AF44" s="20">
        <f t="shared" si="32"/>
        <v>46286</v>
      </c>
    </row>
    <row r="45" spans="2:32" s="1" customFormat="1" ht="15.95" customHeight="1" x14ac:dyDescent="0.25">
      <c r="B45" s="29">
        <v>95</v>
      </c>
      <c r="C45" s="30" t="s">
        <v>49</v>
      </c>
      <c r="D45" s="31" t="s">
        <v>60</v>
      </c>
      <c r="E45" s="32" t="s">
        <v>65</v>
      </c>
      <c r="F45" s="25" t="s">
        <v>28</v>
      </c>
      <c r="G45" s="52">
        <f>WORKDAY(J45,-1,[1]Hoja1!$A$1:$A$72)</f>
        <v>46261</v>
      </c>
      <c r="H45" s="19">
        <v>46233</v>
      </c>
      <c r="I45" s="20">
        <v>46233</v>
      </c>
      <c r="J45" s="55">
        <v>46262</v>
      </c>
      <c r="K45" s="54">
        <f>+J45</f>
        <v>46262</v>
      </c>
      <c r="L45" s="22">
        <f>(J45-H45)</f>
        <v>29</v>
      </c>
      <c r="M45" s="19">
        <f>+J45</f>
        <v>46262</v>
      </c>
      <c r="N45" s="23">
        <f>+M45</f>
        <v>46262</v>
      </c>
      <c r="O45" s="19">
        <f t="shared" si="18"/>
        <v>46262</v>
      </c>
      <c r="P45" s="23">
        <f>+O45</f>
        <v>46262</v>
      </c>
      <c r="Q45" s="19">
        <f>+J45</f>
        <v>46262</v>
      </c>
      <c r="R45" s="20">
        <f>+Q45</f>
        <v>46262</v>
      </c>
      <c r="S45" s="19">
        <f>+J45</f>
        <v>46262</v>
      </c>
      <c r="T45" s="20">
        <f>+S45</f>
        <v>46262</v>
      </c>
      <c r="U45" s="19">
        <f>+J45</f>
        <v>46262</v>
      </c>
      <c r="V45" s="20">
        <f>+U45</f>
        <v>46262</v>
      </c>
      <c r="W45" s="19">
        <f>+J45</f>
        <v>46262</v>
      </c>
      <c r="X45" s="20">
        <f>+W45</f>
        <v>46262</v>
      </c>
      <c r="Y45" s="19">
        <f t="shared" si="28"/>
        <v>46262</v>
      </c>
      <c r="Z45" s="23">
        <f>+Y45</f>
        <v>46262</v>
      </c>
      <c r="AA45" s="19">
        <v>46283</v>
      </c>
      <c r="AB45" s="20">
        <f>+AA45</f>
        <v>46283</v>
      </c>
      <c r="AC45" s="53">
        <f>WORKDAY(AA45,1,[1]Hoja1!$A$1:$A$72)</f>
        <v>46286</v>
      </c>
      <c r="AD45" s="20">
        <f>+AC45</f>
        <v>46286</v>
      </c>
      <c r="AE45" s="19">
        <f>+AC45</f>
        <v>46286</v>
      </c>
      <c r="AF45" s="20">
        <f>+AE45</f>
        <v>46286</v>
      </c>
    </row>
    <row r="46" spans="2:32" s="1" customFormat="1" ht="15.95" customHeight="1" x14ac:dyDescent="0.25">
      <c r="B46" s="29">
        <v>95</v>
      </c>
      <c r="C46" s="30" t="s">
        <v>50</v>
      </c>
      <c r="D46" s="31" t="s">
        <v>60</v>
      </c>
      <c r="E46" s="32" t="s">
        <v>65</v>
      </c>
      <c r="F46" s="25" t="s">
        <v>28</v>
      </c>
      <c r="G46" s="52">
        <f>WORKDAY(J46,-1,[1]Hoja1!$A$1:$A$72)</f>
        <v>46261</v>
      </c>
      <c r="H46" s="19">
        <v>46233</v>
      </c>
      <c r="I46" s="20">
        <v>46233</v>
      </c>
      <c r="J46" s="55">
        <v>46262</v>
      </c>
      <c r="K46" s="54">
        <f>+J46</f>
        <v>46262</v>
      </c>
      <c r="L46" s="22">
        <f>(J46-H46)</f>
        <v>29</v>
      </c>
      <c r="M46" s="19">
        <f>+J46</f>
        <v>46262</v>
      </c>
      <c r="N46" s="23">
        <f>+M46</f>
        <v>46262</v>
      </c>
      <c r="O46" s="19">
        <f t="shared" si="18"/>
        <v>46262</v>
      </c>
      <c r="P46" s="23">
        <f>+O46</f>
        <v>46262</v>
      </c>
      <c r="Q46" s="19">
        <f>+J46</f>
        <v>46262</v>
      </c>
      <c r="R46" s="20">
        <f>+Q46</f>
        <v>46262</v>
      </c>
      <c r="S46" s="19">
        <f>+J46</f>
        <v>46262</v>
      </c>
      <c r="T46" s="20">
        <f>+S46</f>
        <v>46262</v>
      </c>
      <c r="U46" s="19">
        <f>+J46</f>
        <v>46262</v>
      </c>
      <c r="V46" s="20">
        <f>+U46</f>
        <v>46262</v>
      </c>
      <c r="W46" s="19">
        <f>+J46</f>
        <v>46262</v>
      </c>
      <c r="X46" s="20">
        <f>+W46</f>
        <v>46262</v>
      </c>
      <c r="Y46" s="19">
        <f t="shared" si="28"/>
        <v>46262</v>
      </c>
      <c r="Z46" s="23">
        <f>+Y46</f>
        <v>46262</v>
      </c>
      <c r="AA46" s="19">
        <v>46283</v>
      </c>
      <c r="AB46" s="20">
        <f>+AA46</f>
        <v>46283</v>
      </c>
      <c r="AC46" s="53">
        <f>WORKDAY(AA46,1,[1]Hoja1!$A$1:$A$72)</f>
        <v>46286</v>
      </c>
      <c r="AD46" s="20">
        <f>+AC46</f>
        <v>46286</v>
      </c>
      <c r="AE46" s="19">
        <f>+AC46</f>
        <v>46286</v>
      </c>
      <c r="AF46" s="20">
        <f>+AE46</f>
        <v>46286</v>
      </c>
    </row>
    <row r="47" spans="2:32" s="1" customFormat="1" ht="15.95" customHeight="1" x14ac:dyDescent="0.25">
      <c r="B47" s="29">
        <v>77</v>
      </c>
      <c r="C47" s="30" t="s">
        <v>46</v>
      </c>
      <c r="D47" s="31" t="s">
        <v>47</v>
      </c>
      <c r="E47" s="32" t="s">
        <v>66</v>
      </c>
      <c r="F47" s="25" t="s">
        <v>28</v>
      </c>
      <c r="G47" s="52">
        <f>WORKDAY(J47,-1,[1]Hoja1!$A$1:$A$72)</f>
        <v>46262</v>
      </c>
      <c r="H47" s="19">
        <v>46234</v>
      </c>
      <c r="I47" s="20">
        <v>46234</v>
      </c>
      <c r="J47" s="55">
        <v>46265</v>
      </c>
      <c r="K47" s="54">
        <f t="shared" si="0"/>
        <v>46265</v>
      </c>
      <c r="L47" s="22">
        <f t="shared" si="1"/>
        <v>31</v>
      </c>
      <c r="M47" s="19">
        <f t="shared" si="19"/>
        <v>46265</v>
      </c>
      <c r="N47" s="23">
        <f t="shared" si="2"/>
        <v>46265</v>
      </c>
      <c r="O47" s="19">
        <f t="shared" si="18"/>
        <v>46265</v>
      </c>
      <c r="P47" s="23">
        <f t="shared" si="3"/>
        <v>46265</v>
      </c>
      <c r="Q47" s="19">
        <f t="shared" si="20"/>
        <v>46265</v>
      </c>
      <c r="R47" s="20">
        <f t="shared" si="21"/>
        <v>46265</v>
      </c>
      <c r="S47" s="19">
        <f t="shared" si="22"/>
        <v>46265</v>
      </c>
      <c r="T47" s="20">
        <f t="shared" si="23"/>
        <v>46265</v>
      </c>
      <c r="U47" s="19">
        <f t="shared" si="24"/>
        <v>46265</v>
      </c>
      <c r="V47" s="20">
        <f t="shared" si="25"/>
        <v>46265</v>
      </c>
      <c r="W47" s="19">
        <f t="shared" si="26"/>
        <v>46265</v>
      </c>
      <c r="X47" s="20">
        <f t="shared" si="27"/>
        <v>46265</v>
      </c>
      <c r="Y47" s="19">
        <f t="shared" si="28"/>
        <v>46265</v>
      </c>
      <c r="Z47" s="23">
        <f t="shared" si="29"/>
        <v>46265</v>
      </c>
      <c r="AA47" s="19">
        <v>46283</v>
      </c>
      <c r="AB47" s="20">
        <f t="shared" si="17"/>
        <v>46283</v>
      </c>
      <c r="AC47" s="53">
        <f>WORKDAY(AA47,1,[1]Hoja1!$A$1:$A$72)</f>
        <v>46286</v>
      </c>
      <c r="AD47" s="20">
        <f t="shared" si="30"/>
        <v>46286</v>
      </c>
      <c r="AE47" s="19">
        <f t="shared" si="31"/>
        <v>46286</v>
      </c>
      <c r="AF47" s="20">
        <f t="shared" si="32"/>
        <v>46286</v>
      </c>
    </row>
    <row r="48" spans="2:32" s="1" customFormat="1" ht="15.95" customHeight="1" x14ac:dyDescent="0.25">
      <c r="B48" s="29">
        <v>77</v>
      </c>
      <c r="C48" s="30" t="s">
        <v>49</v>
      </c>
      <c r="D48" s="31" t="s">
        <v>47</v>
      </c>
      <c r="E48" s="32" t="s">
        <v>66</v>
      </c>
      <c r="F48" s="25" t="s">
        <v>28</v>
      </c>
      <c r="G48" s="52">
        <f>WORKDAY(J48,-1,[1]Hoja1!$A$1:$A$72)</f>
        <v>46262</v>
      </c>
      <c r="H48" s="19">
        <v>46234</v>
      </c>
      <c r="I48" s="20">
        <v>46234</v>
      </c>
      <c r="J48" s="55">
        <v>46265</v>
      </c>
      <c r="K48" s="54">
        <f>+J48</f>
        <v>46265</v>
      </c>
      <c r="L48" s="22">
        <f>(J48-H48)</f>
        <v>31</v>
      </c>
      <c r="M48" s="19">
        <f>+J48</f>
        <v>46265</v>
      </c>
      <c r="N48" s="23">
        <f>+M48</f>
        <v>46265</v>
      </c>
      <c r="O48" s="19">
        <f t="shared" si="18"/>
        <v>46265</v>
      </c>
      <c r="P48" s="23">
        <f>+O48</f>
        <v>46265</v>
      </c>
      <c r="Q48" s="19">
        <f>+J48</f>
        <v>46265</v>
      </c>
      <c r="R48" s="20">
        <f>+Q48</f>
        <v>46265</v>
      </c>
      <c r="S48" s="19">
        <f>+J48</f>
        <v>46265</v>
      </c>
      <c r="T48" s="20">
        <f>+S48</f>
        <v>46265</v>
      </c>
      <c r="U48" s="19">
        <f>+J48</f>
        <v>46265</v>
      </c>
      <c r="V48" s="20">
        <f>+U48</f>
        <v>46265</v>
      </c>
      <c r="W48" s="19">
        <f>+J48</f>
        <v>46265</v>
      </c>
      <c r="X48" s="20">
        <f>+W48</f>
        <v>46265</v>
      </c>
      <c r="Y48" s="19">
        <f t="shared" si="28"/>
        <v>46265</v>
      </c>
      <c r="Z48" s="23">
        <f>+Y48</f>
        <v>46265</v>
      </c>
      <c r="AA48" s="19">
        <v>46283</v>
      </c>
      <c r="AB48" s="20">
        <f>+AA48</f>
        <v>46283</v>
      </c>
      <c r="AC48" s="53">
        <f>WORKDAY(AA48,1,[1]Hoja1!$A$1:$A$72)</f>
        <v>46286</v>
      </c>
      <c r="AD48" s="20">
        <f>+AC48</f>
        <v>46286</v>
      </c>
      <c r="AE48" s="19">
        <f>+AC48</f>
        <v>46286</v>
      </c>
      <c r="AF48" s="20">
        <f>+AE48</f>
        <v>46286</v>
      </c>
    </row>
    <row r="49" spans="2:32" s="1" customFormat="1" ht="15.95" customHeight="1" x14ac:dyDescent="0.25">
      <c r="B49" s="29">
        <v>77</v>
      </c>
      <c r="C49" s="30" t="s">
        <v>50</v>
      </c>
      <c r="D49" s="31" t="s">
        <v>47</v>
      </c>
      <c r="E49" s="32" t="s">
        <v>66</v>
      </c>
      <c r="F49" s="25" t="s">
        <v>28</v>
      </c>
      <c r="G49" s="52">
        <f>WORKDAY(J49,-1,[1]Hoja1!$A$1:$A$72)</f>
        <v>46262</v>
      </c>
      <c r="H49" s="19">
        <v>46234</v>
      </c>
      <c r="I49" s="20">
        <v>46234</v>
      </c>
      <c r="J49" s="55">
        <v>46265</v>
      </c>
      <c r="K49" s="54">
        <f>+J49</f>
        <v>46265</v>
      </c>
      <c r="L49" s="22">
        <f>(J49-H49)</f>
        <v>31</v>
      </c>
      <c r="M49" s="19">
        <f>+J49</f>
        <v>46265</v>
      </c>
      <c r="N49" s="23">
        <f>+M49</f>
        <v>46265</v>
      </c>
      <c r="O49" s="19">
        <f t="shared" si="18"/>
        <v>46265</v>
      </c>
      <c r="P49" s="23">
        <f>+O49</f>
        <v>46265</v>
      </c>
      <c r="Q49" s="19">
        <f>+J49</f>
        <v>46265</v>
      </c>
      <c r="R49" s="20">
        <f>+Q49</f>
        <v>46265</v>
      </c>
      <c r="S49" s="19">
        <f>+J49</f>
        <v>46265</v>
      </c>
      <c r="T49" s="20">
        <f>+S49</f>
        <v>46265</v>
      </c>
      <c r="U49" s="19">
        <f>+J49</f>
        <v>46265</v>
      </c>
      <c r="V49" s="20">
        <f>+U49</f>
        <v>46265</v>
      </c>
      <c r="W49" s="19">
        <f>+J49</f>
        <v>46265</v>
      </c>
      <c r="X49" s="20">
        <f>+W49</f>
        <v>46265</v>
      </c>
      <c r="Y49" s="19">
        <f t="shared" si="28"/>
        <v>46265</v>
      </c>
      <c r="Z49" s="23">
        <f>+Y49</f>
        <v>46265</v>
      </c>
      <c r="AA49" s="19">
        <v>46283</v>
      </c>
      <c r="AB49" s="20">
        <f>+AA49</f>
        <v>46283</v>
      </c>
      <c r="AC49" s="53">
        <f>WORKDAY(AA49,1,[1]Hoja1!$A$1:$A$72)</f>
        <v>46286</v>
      </c>
      <c r="AD49" s="20">
        <f>+AC49</f>
        <v>46286</v>
      </c>
      <c r="AE49" s="19">
        <f>+AC49</f>
        <v>46286</v>
      </c>
      <c r="AF49" s="20">
        <f>+AE49</f>
        <v>46286</v>
      </c>
    </row>
    <row r="50" spans="2:32" s="1" customFormat="1" ht="15.95" customHeight="1" x14ac:dyDescent="0.25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s="1" customFormat="1" ht="15.95" customHeight="1" thickBot="1" x14ac:dyDescent="0.3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ht="15.75" hidden="1" thickBot="1" x14ac:dyDescent="0.3"/>
    <row r="53" spans="2:32" ht="15.75" hidden="1" thickBot="1" x14ac:dyDescent="0.3"/>
    <row r="54" spans="2:32" ht="30" customHeight="1" thickBot="1" x14ac:dyDescent="0.3">
      <c r="B54" s="72" t="s">
        <v>90</v>
      </c>
      <c r="C54" s="73"/>
      <c r="D54" s="73"/>
      <c r="E54" s="74"/>
      <c r="F54" s="74"/>
      <c r="G54" s="74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6"/>
    </row>
    <row r="55" spans="2:32" ht="60.6" customHeight="1" thickTop="1" thickBot="1" x14ac:dyDescent="0.3">
      <c r="B55" s="77"/>
      <c r="C55" s="78"/>
      <c r="D55" s="78"/>
      <c r="E55" s="78"/>
      <c r="F55" s="78"/>
      <c r="G55" s="78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80"/>
    </row>
    <row r="56" spans="2:32" ht="15" x14ac:dyDescent="0.25"/>
    <row r="57" spans="2:32" ht="15" x14ac:dyDescent="0.25"/>
    <row r="58" spans="2:32" ht="15" x14ac:dyDescent="0.25"/>
    <row r="59" spans="2:32" ht="15" x14ac:dyDescent="0.25"/>
    <row r="60" spans="2:32" ht="15" x14ac:dyDescent="0.25"/>
    <row r="61" spans="2:32" ht="15" x14ac:dyDescent="0.25"/>
    <row r="62" spans="2:32" ht="15" x14ac:dyDescent="0.25"/>
    <row r="63" spans="2:32" ht="15" x14ac:dyDescent="0.25"/>
    <row r="64" spans="2:32" ht="15" x14ac:dyDescent="0.25"/>
    <row r="65" ht="15" x14ac:dyDescent="0.25"/>
    <row r="66" ht="15" x14ac:dyDescent="0.25"/>
    <row r="67" ht="15" x14ac:dyDescent="0.25"/>
    <row r="68" ht="15" x14ac:dyDescent="0.25"/>
    <row r="69" ht="15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4:AF55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1">
    <cfRule type="expression" dxfId="14" priority="1" stopIfTrue="1">
      <formula>IF(H7="",TRUE,FALSE)</formula>
    </cfRule>
  </conditionalFormatting>
  <conditionalFormatting sqref="L7:L51 P50:Q51">
    <cfRule type="expression" dxfId="13" priority="4" stopIfTrue="1">
      <formula>IF(J7="",TRUE,FALSE)</formula>
    </cfRule>
  </conditionalFormatting>
  <conditionalFormatting sqref="L7:L51">
    <cfRule type="expression" dxfId="12" priority="3" stopIfTrue="1">
      <formula>IF(F7="Mensual",OR(L7&gt;32,L7&lt;28), IF(F7="Bimestral",OR(L7&gt;62,L7&lt;58),IF(F7="Trimestral",OR(L7&gt;96,L7&lt;84),FALSE)))</formula>
    </cfRule>
  </conditionalFormatting>
  <conditionalFormatting sqref="N7:N49 P7:P49 R7:R49 K7:K51 T7:T51 V7:V51 X7:X51 Z7:Z51 AB7:AB51 AD7:AD51 AF7:AF51 N50:O51">
    <cfRule type="expression" dxfId="11" priority="5" stopIfTrue="1">
      <formula>IF(J7="",TRUE,FALSE)</formula>
    </cfRule>
  </conditionalFormatting>
  <conditionalFormatting sqref="R50:R51">
    <cfRule type="expression" dxfId="10" priority="6" stopIfTrue="1">
      <formula>IF(O50="",TRUE,FALSE)</formula>
    </cfRule>
  </conditionalFormatting>
  <dataValidations count="1">
    <dataValidation type="list" allowBlank="1" showInputMessage="1" showErrorMessage="1" sqref="G50:G51 JC50:JC51 SY50:SY51 ACU50:ACU51 AMQ50:AMQ51 AWM50:AWM51 BGI50:BGI51 BQE50:BQE51 CAA50:CAA51 CJW50:CJW51 CTS50:CTS51 DDO50:DDO51 DNK50:DNK51 DXG50:DXG51 EHC50:EHC51 EQY50:EQY51 FAU50:FAU51 FKQ50:FKQ51 FUM50:FUM51 GEI50:GEI51 GOE50:GOE51 GYA50:GYA51 HHW50:HHW51 HRS50:HRS51 IBO50:IBO51 ILK50:ILK51 IVG50:IVG51 JFC50:JFC51 JOY50:JOY51 JYU50:JYU51 KIQ50:KIQ51 KSM50:KSM51 LCI50:LCI51 LME50:LME51 LWA50:LWA51 MFW50:MFW51 MPS50:MPS51 MZO50:MZO51 NJK50:NJK51 NTG50:NTG51 ODC50:ODC51 OMY50:OMY51 OWU50:OWU51 PGQ50:PGQ51 PQM50:PQM51 QAI50:QAI51 QKE50:QKE51 QUA50:QUA51 RDW50:RDW51 RNS50:RNS51 RXO50:RXO51 SHK50:SHK51 SRG50:SRG51 TBC50:TBC51 TKY50:TKY51 TUU50:TUU51 UEQ50:UEQ51 UOM50:UOM51 UYI50:UYI51 VIE50:VIE51 VSA50:VSA51 WBW50:WBW51 WLS50:WLS51 WVO50:WVO51 G65586:G65587 JC65586:JC65587 SY65586:SY65587 ACU65586:ACU65587 AMQ65586:AMQ65587 AWM65586:AWM65587 BGI65586:BGI65587 BQE65586:BQE65587 CAA65586:CAA65587 CJW65586:CJW65587 CTS65586:CTS65587 DDO65586:DDO65587 DNK65586:DNK65587 DXG65586:DXG65587 EHC65586:EHC65587 EQY65586:EQY65587 FAU65586:FAU65587 FKQ65586:FKQ65587 FUM65586:FUM65587 GEI65586:GEI65587 GOE65586:GOE65587 GYA65586:GYA65587 HHW65586:HHW65587 HRS65586:HRS65587 IBO65586:IBO65587 ILK65586:ILK65587 IVG65586:IVG65587 JFC65586:JFC65587 JOY65586:JOY65587 JYU65586:JYU65587 KIQ65586:KIQ65587 KSM65586:KSM65587 LCI65586:LCI65587 LME65586:LME65587 LWA65586:LWA65587 MFW65586:MFW65587 MPS65586:MPS65587 MZO65586:MZO65587 NJK65586:NJK65587 NTG65586:NTG65587 ODC65586:ODC65587 OMY65586:OMY65587 OWU65586:OWU65587 PGQ65586:PGQ65587 PQM65586:PQM65587 QAI65586:QAI65587 QKE65586:QKE65587 QUA65586:QUA65587 RDW65586:RDW65587 RNS65586:RNS65587 RXO65586:RXO65587 SHK65586:SHK65587 SRG65586:SRG65587 TBC65586:TBC65587 TKY65586:TKY65587 TUU65586:TUU65587 UEQ65586:UEQ65587 UOM65586:UOM65587 UYI65586:UYI65587 VIE65586:VIE65587 VSA65586:VSA65587 WBW65586:WBW65587 WLS65586:WLS65587 WVO65586:WVO65587 G131122:G131123 JC131122:JC131123 SY131122:SY131123 ACU131122:ACU131123 AMQ131122:AMQ131123 AWM131122:AWM131123 BGI131122:BGI131123 BQE131122:BQE131123 CAA131122:CAA131123 CJW131122:CJW131123 CTS131122:CTS131123 DDO131122:DDO131123 DNK131122:DNK131123 DXG131122:DXG131123 EHC131122:EHC131123 EQY131122:EQY131123 FAU131122:FAU131123 FKQ131122:FKQ131123 FUM131122:FUM131123 GEI131122:GEI131123 GOE131122:GOE131123 GYA131122:GYA131123 HHW131122:HHW131123 HRS131122:HRS131123 IBO131122:IBO131123 ILK131122:ILK131123 IVG131122:IVG131123 JFC131122:JFC131123 JOY131122:JOY131123 JYU131122:JYU131123 KIQ131122:KIQ131123 KSM131122:KSM131123 LCI131122:LCI131123 LME131122:LME131123 LWA131122:LWA131123 MFW131122:MFW131123 MPS131122:MPS131123 MZO131122:MZO131123 NJK131122:NJK131123 NTG131122:NTG131123 ODC131122:ODC131123 OMY131122:OMY131123 OWU131122:OWU131123 PGQ131122:PGQ131123 PQM131122:PQM131123 QAI131122:QAI131123 QKE131122:QKE131123 QUA131122:QUA131123 RDW131122:RDW131123 RNS131122:RNS131123 RXO131122:RXO131123 SHK131122:SHK131123 SRG131122:SRG131123 TBC131122:TBC131123 TKY131122:TKY131123 TUU131122:TUU131123 UEQ131122:UEQ131123 UOM131122:UOM131123 UYI131122:UYI131123 VIE131122:VIE131123 VSA131122:VSA131123 WBW131122:WBW131123 WLS131122:WLS131123 WVO131122:WVO131123 G196658:G196659 JC196658:JC196659 SY196658:SY196659 ACU196658:ACU196659 AMQ196658:AMQ196659 AWM196658:AWM196659 BGI196658:BGI196659 BQE196658:BQE196659 CAA196658:CAA196659 CJW196658:CJW196659 CTS196658:CTS196659 DDO196658:DDO196659 DNK196658:DNK196659 DXG196658:DXG196659 EHC196658:EHC196659 EQY196658:EQY196659 FAU196658:FAU196659 FKQ196658:FKQ196659 FUM196658:FUM196659 GEI196658:GEI196659 GOE196658:GOE196659 GYA196658:GYA196659 HHW196658:HHW196659 HRS196658:HRS196659 IBO196658:IBO196659 ILK196658:ILK196659 IVG196658:IVG196659 JFC196658:JFC196659 JOY196658:JOY196659 JYU196658:JYU196659 KIQ196658:KIQ196659 KSM196658:KSM196659 LCI196658:LCI196659 LME196658:LME196659 LWA196658:LWA196659 MFW196658:MFW196659 MPS196658:MPS196659 MZO196658:MZO196659 NJK196658:NJK196659 NTG196658:NTG196659 ODC196658:ODC196659 OMY196658:OMY196659 OWU196658:OWU196659 PGQ196658:PGQ196659 PQM196658:PQM196659 QAI196658:QAI196659 QKE196658:QKE196659 QUA196658:QUA196659 RDW196658:RDW196659 RNS196658:RNS196659 RXO196658:RXO196659 SHK196658:SHK196659 SRG196658:SRG196659 TBC196658:TBC196659 TKY196658:TKY196659 TUU196658:TUU196659 UEQ196658:UEQ196659 UOM196658:UOM196659 UYI196658:UYI196659 VIE196658:VIE196659 VSA196658:VSA196659 WBW196658:WBW196659 WLS196658:WLS196659 WVO196658:WVO196659 G262194:G262195 JC262194:JC262195 SY262194:SY262195 ACU262194:ACU262195 AMQ262194:AMQ262195 AWM262194:AWM262195 BGI262194:BGI262195 BQE262194:BQE262195 CAA262194:CAA262195 CJW262194:CJW262195 CTS262194:CTS262195 DDO262194:DDO262195 DNK262194:DNK262195 DXG262194:DXG262195 EHC262194:EHC262195 EQY262194:EQY262195 FAU262194:FAU262195 FKQ262194:FKQ262195 FUM262194:FUM262195 GEI262194:GEI262195 GOE262194:GOE262195 GYA262194:GYA262195 HHW262194:HHW262195 HRS262194:HRS262195 IBO262194:IBO262195 ILK262194:ILK262195 IVG262194:IVG262195 JFC262194:JFC262195 JOY262194:JOY262195 JYU262194:JYU262195 KIQ262194:KIQ262195 KSM262194:KSM262195 LCI262194:LCI262195 LME262194:LME262195 LWA262194:LWA262195 MFW262194:MFW262195 MPS262194:MPS262195 MZO262194:MZO262195 NJK262194:NJK262195 NTG262194:NTG262195 ODC262194:ODC262195 OMY262194:OMY262195 OWU262194:OWU262195 PGQ262194:PGQ262195 PQM262194:PQM262195 QAI262194:QAI262195 QKE262194:QKE262195 QUA262194:QUA262195 RDW262194:RDW262195 RNS262194:RNS262195 RXO262194:RXO262195 SHK262194:SHK262195 SRG262194:SRG262195 TBC262194:TBC262195 TKY262194:TKY262195 TUU262194:TUU262195 UEQ262194:UEQ262195 UOM262194:UOM262195 UYI262194:UYI262195 VIE262194:VIE262195 VSA262194:VSA262195 WBW262194:WBW262195 WLS262194:WLS262195 WVO262194:WVO262195 G327730:G327731 JC327730:JC327731 SY327730:SY327731 ACU327730:ACU327731 AMQ327730:AMQ327731 AWM327730:AWM327731 BGI327730:BGI327731 BQE327730:BQE327731 CAA327730:CAA327731 CJW327730:CJW327731 CTS327730:CTS327731 DDO327730:DDO327731 DNK327730:DNK327731 DXG327730:DXG327731 EHC327730:EHC327731 EQY327730:EQY327731 FAU327730:FAU327731 FKQ327730:FKQ327731 FUM327730:FUM327731 GEI327730:GEI327731 GOE327730:GOE327731 GYA327730:GYA327731 HHW327730:HHW327731 HRS327730:HRS327731 IBO327730:IBO327731 ILK327730:ILK327731 IVG327730:IVG327731 JFC327730:JFC327731 JOY327730:JOY327731 JYU327730:JYU327731 KIQ327730:KIQ327731 KSM327730:KSM327731 LCI327730:LCI327731 LME327730:LME327731 LWA327730:LWA327731 MFW327730:MFW327731 MPS327730:MPS327731 MZO327730:MZO327731 NJK327730:NJK327731 NTG327730:NTG327731 ODC327730:ODC327731 OMY327730:OMY327731 OWU327730:OWU327731 PGQ327730:PGQ327731 PQM327730:PQM327731 QAI327730:QAI327731 QKE327730:QKE327731 QUA327730:QUA327731 RDW327730:RDW327731 RNS327730:RNS327731 RXO327730:RXO327731 SHK327730:SHK327731 SRG327730:SRG327731 TBC327730:TBC327731 TKY327730:TKY327731 TUU327730:TUU327731 UEQ327730:UEQ327731 UOM327730:UOM327731 UYI327730:UYI327731 VIE327730:VIE327731 VSA327730:VSA327731 WBW327730:WBW327731 WLS327730:WLS327731 WVO327730:WVO327731 G393266:G393267 JC393266:JC393267 SY393266:SY393267 ACU393266:ACU393267 AMQ393266:AMQ393267 AWM393266:AWM393267 BGI393266:BGI393267 BQE393266:BQE393267 CAA393266:CAA393267 CJW393266:CJW393267 CTS393266:CTS393267 DDO393266:DDO393267 DNK393266:DNK393267 DXG393266:DXG393267 EHC393266:EHC393267 EQY393266:EQY393267 FAU393266:FAU393267 FKQ393266:FKQ393267 FUM393266:FUM393267 GEI393266:GEI393267 GOE393266:GOE393267 GYA393266:GYA393267 HHW393266:HHW393267 HRS393266:HRS393267 IBO393266:IBO393267 ILK393266:ILK393267 IVG393266:IVG393267 JFC393266:JFC393267 JOY393266:JOY393267 JYU393266:JYU393267 KIQ393266:KIQ393267 KSM393266:KSM393267 LCI393266:LCI393267 LME393266:LME393267 LWA393266:LWA393267 MFW393266:MFW393267 MPS393266:MPS393267 MZO393266:MZO393267 NJK393266:NJK393267 NTG393266:NTG393267 ODC393266:ODC393267 OMY393266:OMY393267 OWU393266:OWU393267 PGQ393266:PGQ393267 PQM393266:PQM393267 QAI393266:QAI393267 QKE393266:QKE393267 QUA393266:QUA393267 RDW393266:RDW393267 RNS393266:RNS393267 RXO393266:RXO393267 SHK393266:SHK393267 SRG393266:SRG393267 TBC393266:TBC393267 TKY393266:TKY393267 TUU393266:TUU393267 UEQ393266:UEQ393267 UOM393266:UOM393267 UYI393266:UYI393267 VIE393266:VIE393267 VSA393266:VSA393267 WBW393266:WBW393267 WLS393266:WLS393267 WVO393266:WVO393267 G458802:G458803 JC458802:JC458803 SY458802:SY458803 ACU458802:ACU458803 AMQ458802:AMQ458803 AWM458802:AWM458803 BGI458802:BGI458803 BQE458802:BQE458803 CAA458802:CAA458803 CJW458802:CJW458803 CTS458802:CTS458803 DDO458802:DDO458803 DNK458802:DNK458803 DXG458802:DXG458803 EHC458802:EHC458803 EQY458802:EQY458803 FAU458802:FAU458803 FKQ458802:FKQ458803 FUM458802:FUM458803 GEI458802:GEI458803 GOE458802:GOE458803 GYA458802:GYA458803 HHW458802:HHW458803 HRS458802:HRS458803 IBO458802:IBO458803 ILK458802:ILK458803 IVG458802:IVG458803 JFC458802:JFC458803 JOY458802:JOY458803 JYU458802:JYU458803 KIQ458802:KIQ458803 KSM458802:KSM458803 LCI458802:LCI458803 LME458802:LME458803 LWA458802:LWA458803 MFW458802:MFW458803 MPS458802:MPS458803 MZO458802:MZO458803 NJK458802:NJK458803 NTG458802:NTG458803 ODC458802:ODC458803 OMY458802:OMY458803 OWU458802:OWU458803 PGQ458802:PGQ458803 PQM458802:PQM458803 QAI458802:QAI458803 QKE458802:QKE458803 QUA458802:QUA458803 RDW458802:RDW458803 RNS458802:RNS458803 RXO458802:RXO458803 SHK458802:SHK458803 SRG458802:SRG458803 TBC458802:TBC458803 TKY458802:TKY458803 TUU458802:TUU458803 UEQ458802:UEQ458803 UOM458802:UOM458803 UYI458802:UYI458803 VIE458802:VIE458803 VSA458802:VSA458803 WBW458802:WBW458803 WLS458802:WLS458803 WVO458802:WVO458803 G524338:G524339 JC524338:JC524339 SY524338:SY524339 ACU524338:ACU524339 AMQ524338:AMQ524339 AWM524338:AWM524339 BGI524338:BGI524339 BQE524338:BQE524339 CAA524338:CAA524339 CJW524338:CJW524339 CTS524338:CTS524339 DDO524338:DDO524339 DNK524338:DNK524339 DXG524338:DXG524339 EHC524338:EHC524339 EQY524338:EQY524339 FAU524338:FAU524339 FKQ524338:FKQ524339 FUM524338:FUM524339 GEI524338:GEI524339 GOE524338:GOE524339 GYA524338:GYA524339 HHW524338:HHW524339 HRS524338:HRS524339 IBO524338:IBO524339 ILK524338:ILK524339 IVG524338:IVG524339 JFC524338:JFC524339 JOY524338:JOY524339 JYU524338:JYU524339 KIQ524338:KIQ524339 KSM524338:KSM524339 LCI524338:LCI524339 LME524338:LME524339 LWA524338:LWA524339 MFW524338:MFW524339 MPS524338:MPS524339 MZO524338:MZO524339 NJK524338:NJK524339 NTG524338:NTG524339 ODC524338:ODC524339 OMY524338:OMY524339 OWU524338:OWU524339 PGQ524338:PGQ524339 PQM524338:PQM524339 QAI524338:QAI524339 QKE524338:QKE524339 QUA524338:QUA524339 RDW524338:RDW524339 RNS524338:RNS524339 RXO524338:RXO524339 SHK524338:SHK524339 SRG524338:SRG524339 TBC524338:TBC524339 TKY524338:TKY524339 TUU524338:TUU524339 UEQ524338:UEQ524339 UOM524338:UOM524339 UYI524338:UYI524339 VIE524338:VIE524339 VSA524338:VSA524339 WBW524338:WBW524339 WLS524338:WLS524339 WVO524338:WVO524339 G589874:G589875 JC589874:JC589875 SY589874:SY589875 ACU589874:ACU589875 AMQ589874:AMQ589875 AWM589874:AWM589875 BGI589874:BGI589875 BQE589874:BQE589875 CAA589874:CAA589875 CJW589874:CJW589875 CTS589874:CTS589875 DDO589874:DDO589875 DNK589874:DNK589875 DXG589874:DXG589875 EHC589874:EHC589875 EQY589874:EQY589875 FAU589874:FAU589875 FKQ589874:FKQ589875 FUM589874:FUM589875 GEI589874:GEI589875 GOE589874:GOE589875 GYA589874:GYA589875 HHW589874:HHW589875 HRS589874:HRS589875 IBO589874:IBO589875 ILK589874:ILK589875 IVG589874:IVG589875 JFC589874:JFC589875 JOY589874:JOY589875 JYU589874:JYU589875 KIQ589874:KIQ589875 KSM589874:KSM589875 LCI589874:LCI589875 LME589874:LME589875 LWA589874:LWA589875 MFW589874:MFW589875 MPS589874:MPS589875 MZO589874:MZO589875 NJK589874:NJK589875 NTG589874:NTG589875 ODC589874:ODC589875 OMY589874:OMY589875 OWU589874:OWU589875 PGQ589874:PGQ589875 PQM589874:PQM589875 QAI589874:QAI589875 QKE589874:QKE589875 QUA589874:QUA589875 RDW589874:RDW589875 RNS589874:RNS589875 RXO589874:RXO589875 SHK589874:SHK589875 SRG589874:SRG589875 TBC589874:TBC589875 TKY589874:TKY589875 TUU589874:TUU589875 UEQ589874:UEQ589875 UOM589874:UOM589875 UYI589874:UYI589875 VIE589874:VIE589875 VSA589874:VSA589875 WBW589874:WBW589875 WLS589874:WLS589875 WVO589874:WVO589875 G655410:G655411 JC655410:JC655411 SY655410:SY655411 ACU655410:ACU655411 AMQ655410:AMQ655411 AWM655410:AWM655411 BGI655410:BGI655411 BQE655410:BQE655411 CAA655410:CAA655411 CJW655410:CJW655411 CTS655410:CTS655411 DDO655410:DDO655411 DNK655410:DNK655411 DXG655410:DXG655411 EHC655410:EHC655411 EQY655410:EQY655411 FAU655410:FAU655411 FKQ655410:FKQ655411 FUM655410:FUM655411 GEI655410:GEI655411 GOE655410:GOE655411 GYA655410:GYA655411 HHW655410:HHW655411 HRS655410:HRS655411 IBO655410:IBO655411 ILK655410:ILK655411 IVG655410:IVG655411 JFC655410:JFC655411 JOY655410:JOY655411 JYU655410:JYU655411 KIQ655410:KIQ655411 KSM655410:KSM655411 LCI655410:LCI655411 LME655410:LME655411 LWA655410:LWA655411 MFW655410:MFW655411 MPS655410:MPS655411 MZO655410:MZO655411 NJK655410:NJK655411 NTG655410:NTG655411 ODC655410:ODC655411 OMY655410:OMY655411 OWU655410:OWU655411 PGQ655410:PGQ655411 PQM655410:PQM655411 QAI655410:QAI655411 QKE655410:QKE655411 QUA655410:QUA655411 RDW655410:RDW655411 RNS655410:RNS655411 RXO655410:RXO655411 SHK655410:SHK655411 SRG655410:SRG655411 TBC655410:TBC655411 TKY655410:TKY655411 TUU655410:TUU655411 UEQ655410:UEQ655411 UOM655410:UOM655411 UYI655410:UYI655411 VIE655410:VIE655411 VSA655410:VSA655411 WBW655410:WBW655411 WLS655410:WLS655411 WVO655410:WVO655411 G720946:G720947 JC720946:JC720947 SY720946:SY720947 ACU720946:ACU720947 AMQ720946:AMQ720947 AWM720946:AWM720947 BGI720946:BGI720947 BQE720946:BQE720947 CAA720946:CAA720947 CJW720946:CJW720947 CTS720946:CTS720947 DDO720946:DDO720947 DNK720946:DNK720947 DXG720946:DXG720947 EHC720946:EHC720947 EQY720946:EQY720947 FAU720946:FAU720947 FKQ720946:FKQ720947 FUM720946:FUM720947 GEI720946:GEI720947 GOE720946:GOE720947 GYA720946:GYA720947 HHW720946:HHW720947 HRS720946:HRS720947 IBO720946:IBO720947 ILK720946:ILK720947 IVG720946:IVG720947 JFC720946:JFC720947 JOY720946:JOY720947 JYU720946:JYU720947 KIQ720946:KIQ720947 KSM720946:KSM720947 LCI720946:LCI720947 LME720946:LME720947 LWA720946:LWA720947 MFW720946:MFW720947 MPS720946:MPS720947 MZO720946:MZO720947 NJK720946:NJK720947 NTG720946:NTG720947 ODC720946:ODC720947 OMY720946:OMY720947 OWU720946:OWU720947 PGQ720946:PGQ720947 PQM720946:PQM720947 QAI720946:QAI720947 QKE720946:QKE720947 QUA720946:QUA720947 RDW720946:RDW720947 RNS720946:RNS720947 RXO720946:RXO720947 SHK720946:SHK720947 SRG720946:SRG720947 TBC720946:TBC720947 TKY720946:TKY720947 TUU720946:TUU720947 UEQ720946:UEQ720947 UOM720946:UOM720947 UYI720946:UYI720947 VIE720946:VIE720947 VSA720946:VSA720947 WBW720946:WBW720947 WLS720946:WLS720947 WVO720946:WVO720947 G786482:G786483 JC786482:JC786483 SY786482:SY786483 ACU786482:ACU786483 AMQ786482:AMQ786483 AWM786482:AWM786483 BGI786482:BGI786483 BQE786482:BQE786483 CAA786482:CAA786483 CJW786482:CJW786483 CTS786482:CTS786483 DDO786482:DDO786483 DNK786482:DNK786483 DXG786482:DXG786483 EHC786482:EHC786483 EQY786482:EQY786483 FAU786482:FAU786483 FKQ786482:FKQ786483 FUM786482:FUM786483 GEI786482:GEI786483 GOE786482:GOE786483 GYA786482:GYA786483 HHW786482:HHW786483 HRS786482:HRS786483 IBO786482:IBO786483 ILK786482:ILK786483 IVG786482:IVG786483 JFC786482:JFC786483 JOY786482:JOY786483 JYU786482:JYU786483 KIQ786482:KIQ786483 KSM786482:KSM786483 LCI786482:LCI786483 LME786482:LME786483 LWA786482:LWA786483 MFW786482:MFW786483 MPS786482:MPS786483 MZO786482:MZO786483 NJK786482:NJK786483 NTG786482:NTG786483 ODC786482:ODC786483 OMY786482:OMY786483 OWU786482:OWU786483 PGQ786482:PGQ786483 PQM786482:PQM786483 QAI786482:QAI786483 QKE786482:QKE786483 QUA786482:QUA786483 RDW786482:RDW786483 RNS786482:RNS786483 RXO786482:RXO786483 SHK786482:SHK786483 SRG786482:SRG786483 TBC786482:TBC786483 TKY786482:TKY786483 TUU786482:TUU786483 UEQ786482:UEQ786483 UOM786482:UOM786483 UYI786482:UYI786483 VIE786482:VIE786483 VSA786482:VSA786483 WBW786482:WBW786483 WLS786482:WLS786483 WVO786482:WVO786483 G852018:G852019 JC852018:JC852019 SY852018:SY852019 ACU852018:ACU852019 AMQ852018:AMQ852019 AWM852018:AWM852019 BGI852018:BGI852019 BQE852018:BQE852019 CAA852018:CAA852019 CJW852018:CJW852019 CTS852018:CTS852019 DDO852018:DDO852019 DNK852018:DNK852019 DXG852018:DXG852019 EHC852018:EHC852019 EQY852018:EQY852019 FAU852018:FAU852019 FKQ852018:FKQ852019 FUM852018:FUM852019 GEI852018:GEI852019 GOE852018:GOE852019 GYA852018:GYA852019 HHW852018:HHW852019 HRS852018:HRS852019 IBO852018:IBO852019 ILK852018:ILK852019 IVG852018:IVG852019 JFC852018:JFC852019 JOY852018:JOY852019 JYU852018:JYU852019 KIQ852018:KIQ852019 KSM852018:KSM852019 LCI852018:LCI852019 LME852018:LME852019 LWA852018:LWA852019 MFW852018:MFW852019 MPS852018:MPS852019 MZO852018:MZO852019 NJK852018:NJK852019 NTG852018:NTG852019 ODC852018:ODC852019 OMY852018:OMY852019 OWU852018:OWU852019 PGQ852018:PGQ852019 PQM852018:PQM852019 QAI852018:QAI852019 QKE852018:QKE852019 QUA852018:QUA852019 RDW852018:RDW852019 RNS852018:RNS852019 RXO852018:RXO852019 SHK852018:SHK852019 SRG852018:SRG852019 TBC852018:TBC852019 TKY852018:TKY852019 TUU852018:TUU852019 UEQ852018:UEQ852019 UOM852018:UOM852019 UYI852018:UYI852019 VIE852018:VIE852019 VSA852018:VSA852019 WBW852018:WBW852019 WLS852018:WLS852019 WVO852018:WVO852019 G917554:G917555 JC917554:JC917555 SY917554:SY917555 ACU917554:ACU917555 AMQ917554:AMQ917555 AWM917554:AWM917555 BGI917554:BGI917555 BQE917554:BQE917555 CAA917554:CAA917555 CJW917554:CJW917555 CTS917554:CTS917555 DDO917554:DDO917555 DNK917554:DNK917555 DXG917554:DXG917555 EHC917554:EHC917555 EQY917554:EQY917555 FAU917554:FAU917555 FKQ917554:FKQ917555 FUM917554:FUM917555 GEI917554:GEI917555 GOE917554:GOE917555 GYA917554:GYA917555 HHW917554:HHW917555 HRS917554:HRS917555 IBO917554:IBO917555 ILK917554:ILK917555 IVG917554:IVG917555 JFC917554:JFC917555 JOY917554:JOY917555 JYU917554:JYU917555 KIQ917554:KIQ917555 KSM917554:KSM917555 LCI917554:LCI917555 LME917554:LME917555 LWA917554:LWA917555 MFW917554:MFW917555 MPS917554:MPS917555 MZO917554:MZO917555 NJK917554:NJK917555 NTG917554:NTG917555 ODC917554:ODC917555 OMY917554:OMY917555 OWU917554:OWU917555 PGQ917554:PGQ917555 PQM917554:PQM917555 QAI917554:QAI917555 QKE917554:QKE917555 QUA917554:QUA917555 RDW917554:RDW917555 RNS917554:RNS917555 RXO917554:RXO917555 SHK917554:SHK917555 SRG917554:SRG917555 TBC917554:TBC917555 TKY917554:TKY917555 TUU917554:TUU917555 UEQ917554:UEQ917555 UOM917554:UOM917555 UYI917554:UYI917555 VIE917554:VIE917555 VSA917554:VSA917555 WBW917554:WBW917555 WLS917554:WLS917555 WVO917554:WVO917555 G983090:G983091 JC983090:JC983091 SY983090:SY983091 ACU983090:ACU983091 AMQ983090:AMQ983091 AWM983090:AWM983091 BGI983090:BGI983091 BQE983090:BQE983091 CAA983090:CAA983091 CJW983090:CJW983091 CTS983090:CTS983091 DDO983090:DDO983091 DNK983090:DNK983091 DXG983090:DXG983091 EHC983090:EHC983091 EQY983090:EQY983091 FAU983090:FAU983091 FKQ983090:FKQ983091 FUM983090:FUM983091 GEI983090:GEI983091 GOE983090:GOE983091 GYA983090:GYA983091 HHW983090:HHW983091 HRS983090:HRS983091 IBO983090:IBO983091 ILK983090:ILK983091 IVG983090:IVG983091 JFC983090:JFC983091 JOY983090:JOY983091 JYU983090:JYU983091 KIQ983090:KIQ983091 KSM983090:KSM983091 LCI983090:LCI983091 LME983090:LME983091 LWA983090:LWA983091 MFW983090:MFW983091 MPS983090:MPS983091 MZO983090:MZO983091 NJK983090:NJK983091 NTG983090:NTG983091 ODC983090:ODC983091 OMY983090:OMY983091 OWU983090:OWU983091 PGQ983090:PGQ983091 PQM983090:PQM983091 QAI983090:QAI983091 QKE983090:QKE983091 QUA983090:QUA983091 RDW983090:RDW983091 RNS983090:RNS983091 RXO983090:RXO983091 SHK983090:SHK983091 SRG983090:SRG983091 TBC983090:TBC983091 TKY983090:TKY983091 TUU983090:TUU983091 UEQ983090:UEQ983091 UOM983090:UOM983091 UYI983090:UYI983091 VIE983090:VIE983091 VSA983090:VSA983091 WBW983090:WBW983091 WLS983090:WLS983091 WVO983090:WVO983091 F7:F51 JB7:JB51 SX7:SX51 ACT7:ACT51 AMP7:AMP51 AWL7:AWL51 BGH7:BGH51 BQD7:BQD51 BZZ7:BZZ51 CJV7:CJV51 CTR7:CTR51 DDN7:DDN51 DNJ7:DNJ51 DXF7:DXF51 EHB7:EHB51 EQX7:EQX51 FAT7:FAT51 FKP7:FKP51 FUL7:FUL51 GEH7:GEH51 GOD7:GOD51 GXZ7:GXZ51 HHV7:HHV51 HRR7:HRR51 IBN7:IBN51 ILJ7:ILJ51 IVF7:IVF51 JFB7:JFB51 JOX7:JOX51 JYT7:JYT51 KIP7:KIP51 KSL7:KSL51 LCH7:LCH51 LMD7:LMD51 LVZ7:LVZ51 MFV7:MFV51 MPR7:MPR51 MZN7:MZN51 NJJ7:NJJ51 NTF7:NTF51 ODB7:ODB51 OMX7:OMX51 OWT7:OWT51 PGP7:PGP51 PQL7:PQL51 QAH7:QAH51 QKD7:QKD51 QTZ7:QTZ51 RDV7:RDV51 RNR7:RNR51 RXN7:RXN51 SHJ7:SHJ51 SRF7:SRF51 TBB7:TBB51 TKX7:TKX51 TUT7:TUT51 UEP7:UEP51 UOL7:UOL51 UYH7:UYH51 VID7:VID51 VRZ7:VRZ51 WBV7:WBV51 WLR7:WLR51 WVN7:WVN51 F65543:F65587 JB65543:JB65587 SX65543:SX65587 ACT65543:ACT65587 AMP65543:AMP65587 AWL65543:AWL65587 BGH65543:BGH65587 BQD65543:BQD65587 BZZ65543:BZZ65587 CJV65543:CJV65587 CTR65543:CTR65587 DDN65543:DDN65587 DNJ65543:DNJ65587 DXF65543:DXF65587 EHB65543:EHB65587 EQX65543:EQX65587 FAT65543:FAT65587 FKP65543:FKP65587 FUL65543:FUL65587 GEH65543:GEH65587 GOD65543:GOD65587 GXZ65543:GXZ65587 HHV65543:HHV65587 HRR65543:HRR65587 IBN65543:IBN65587 ILJ65543:ILJ65587 IVF65543:IVF65587 JFB65543:JFB65587 JOX65543:JOX65587 JYT65543:JYT65587 KIP65543:KIP65587 KSL65543:KSL65587 LCH65543:LCH65587 LMD65543:LMD65587 LVZ65543:LVZ65587 MFV65543:MFV65587 MPR65543:MPR65587 MZN65543:MZN65587 NJJ65543:NJJ65587 NTF65543:NTF65587 ODB65543:ODB65587 OMX65543:OMX65587 OWT65543:OWT65587 PGP65543:PGP65587 PQL65543:PQL65587 QAH65543:QAH65587 QKD65543:QKD65587 QTZ65543:QTZ65587 RDV65543:RDV65587 RNR65543:RNR65587 RXN65543:RXN65587 SHJ65543:SHJ65587 SRF65543:SRF65587 TBB65543:TBB65587 TKX65543:TKX65587 TUT65543:TUT65587 UEP65543:UEP65587 UOL65543:UOL65587 UYH65543:UYH65587 VID65543:VID65587 VRZ65543:VRZ65587 WBV65543:WBV65587 WLR65543:WLR65587 WVN65543:WVN65587 F131079:F131123 JB131079:JB131123 SX131079:SX131123 ACT131079:ACT131123 AMP131079:AMP131123 AWL131079:AWL131123 BGH131079:BGH131123 BQD131079:BQD131123 BZZ131079:BZZ131123 CJV131079:CJV131123 CTR131079:CTR131123 DDN131079:DDN131123 DNJ131079:DNJ131123 DXF131079:DXF131123 EHB131079:EHB131123 EQX131079:EQX131123 FAT131079:FAT131123 FKP131079:FKP131123 FUL131079:FUL131123 GEH131079:GEH131123 GOD131079:GOD131123 GXZ131079:GXZ131123 HHV131079:HHV131123 HRR131079:HRR131123 IBN131079:IBN131123 ILJ131079:ILJ131123 IVF131079:IVF131123 JFB131079:JFB131123 JOX131079:JOX131123 JYT131079:JYT131123 KIP131079:KIP131123 KSL131079:KSL131123 LCH131079:LCH131123 LMD131079:LMD131123 LVZ131079:LVZ131123 MFV131079:MFV131123 MPR131079:MPR131123 MZN131079:MZN131123 NJJ131079:NJJ131123 NTF131079:NTF131123 ODB131079:ODB131123 OMX131079:OMX131123 OWT131079:OWT131123 PGP131079:PGP131123 PQL131079:PQL131123 QAH131079:QAH131123 QKD131079:QKD131123 QTZ131079:QTZ131123 RDV131079:RDV131123 RNR131079:RNR131123 RXN131079:RXN131123 SHJ131079:SHJ131123 SRF131079:SRF131123 TBB131079:TBB131123 TKX131079:TKX131123 TUT131079:TUT131123 UEP131079:UEP131123 UOL131079:UOL131123 UYH131079:UYH131123 VID131079:VID131123 VRZ131079:VRZ131123 WBV131079:WBV131123 WLR131079:WLR131123 WVN131079:WVN131123 F196615:F196659 JB196615:JB196659 SX196615:SX196659 ACT196615:ACT196659 AMP196615:AMP196659 AWL196615:AWL196659 BGH196615:BGH196659 BQD196615:BQD196659 BZZ196615:BZZ196659 CJV196615:CJV196659 CTR196615:CTR196659 DDN196615:DDN196659 DNJ196615:DNJ196659 DXF196615:DXF196659 EHB196615:EHB196659 EQX196615:EQX196659 FAT196615:FAT196659 FKP196615:FKP196659 FUL196615:FUL196659 GEH196615:GEH196659 GOD196615:GOD196659 GXZ196615:GXZ196659 HHV196615:HHV196659 HRR196615:HRR196659 IBN196615:IBN196659 ILJ196615:ILJ196659 IVF196615:IVF196659 JFB196615:JFB196659 JOX196615:JOX196659 JYT196615:JYT196659 KIP196615:KIP196659 KSL196615:KSL196659 LCH196615:LCH196659 LMD196615:LMD196659 LVZ196615:LVZ196659 MFV196615:MFV196659 MPR196615:MPR196659 MZN196615:MZN196659 NJJ196615:NJJ196659 NTF196615:NTF196659 ODB196615:ODB196659 OMX196615:OMX196659 OWT196615:OWT196659 PGP196615:PGP196659 PQL196615:PQL196659 QAH196615:QAH196659 QKD196615:QKD196659 QTZ196615:QTZ196659 RDV196615:RDV196659 RNR196615:RNR196659 RXN196615:RXN196659 SHJ196615:SHJ196659 SRF196615:SRF196659 TBB196615:TBB196659 TKX196615:TKX196659 TUT196615:TUT196659 UEP196615:UEP196659 UOL196615:UOL196659 UYH196615:UYH196659 VID196615:VID196659 VRZ196615:VRZ196659 WBV196615:WBV196659 WLR196615:WLR196659 WVN196615:WVN196659 F262151:F262195 JB262151:JB262195 SX262151:SX262195 ACT262151:ACT262195 AMP262151:AMP262195 AWL262151:AWL262195 BGH262151:BGH262195 BQD262151:BQD262195 BZZ262151:BZZ262195 CJV262151:CJV262195 CTR262151:CTR262195 DDN262151:DDN262195 DNJ262151:DNJ262195 DXF262151:DXF262195 EHB262151:EHB262195 EQX262151:EQX262195 FAT262151:FAT262195 FKP262151:FKP262195 FUL262151:FUL262195 GEH262151:GEH262195 GOD262151:GOD262195 GXZ262151:GXZ262195 HHV262151:HHV262195 HRR262151:HRR262195 IBN262151:IBN262195 ILJ262151:ILJ262195 IVF262151:IVF262195 JFB262151:JFB262195 JOX262151:JOX262195 JYT262151:JYT262195 KIP262151:KIP262195 KSL262151:KSL262195 LCH262151:LCH262195 LMD262151:LMD262195 LVZ262151:LVZ262195 MFV262151:MFV262195 MPR262151:MPR262195 MZN262151:MZN262195 NJJ262151:NJJ262195 NTF262151:NTF262195 ODB262151:ODB262195 OMX262151:OMX262195 OWT262151:OWT262195 PGP262151:PGP262195 PQL262151:PQL262195 QAH262151:QAH262195 QKD262151:QKD262195 QTZ262151:QTZ262195 RDV262151:RDV262195 RNR262151:RNR262195 RXN262151:RXN262195 SHJ262151:SHJ262195 SRF262151:SRF262195 TBB262151:TBB262195 TKX262151:TKX262195 TUT262151:TUT262195 UEP262151:UEP262195 UOL262151:UOL262195 UYH262151:UYH262195 VID262151:VID262195 VRZ262151:VRZ262195 WBV262151:WBV262195 WLR262151:WLR262195 WVN262151:WVN262195 F327687:F327731 JB327687:JB327731 SX327687:SX327731 ACT327687:ACT327731 AMP327687:AMP327731 AWL327687:AWL327731 BGH327687:BGH327731 BQD327687:BQD327731 BZZ327687:BZZ327731 CJV327687:CJV327731 CTR327687:CTR327731 DDN327687:DDN327731 DNJ327687:DNJ327731 DXF327687:DXF327731 EHB327687:EHB327731 EQX327687:EQX327731 FAT327687:FAT327731 FKP327687:FKP327731 FUL327687:FUL327731 GEH327687:GEH327731 GOD327687:GOD327731 GXZ327687:GXZ327731 HHV327687:HHV327731 HRR327687:HRR327731 IBN327687:IBN327731 ILJ327687:ILJ327731 IVF327687:IVF327731 JFB327687:JFB327731 JOX327687:JOX327731 JYT327687:JYT327731 KIP327687:KIP327731 KSL327687:KSL327731 LCH327687:LCH327731 LMD327687:LMD327731 LVZ327687:LVZ327731 MFV327687:MFV327731 MPR327687:MPR327731 MZN327687:MZN327731 NJJ327687:NJJ327731 NTF327687:NTF327731 ODB327687:ODB327731 OMX327687:OMX327731 OWT327687:OWT327731 PGP327687:PGP327731 PQL327687:PQL327731 QAH327687:QAH327731 QKD327687:QKD327731 QTZ327687:QTZ327731 RDV327687:RDV327731 RNR327687:RNR327731 RXN327687:RXN327731 SHJ327687:SHJ327731 SRF327687:SRF327731 TBB327687:TBB327731 TKX327687:TKX327731 TUT327687:TUT327731 UEP327687:UEP327731 UOL327687:UOL327731 UYH327687:UYH327731 VID327687:VID327731 VRZ327687:VRZ327731 WBV327687:WBV327731 WLR327687:WLR327731 WVN327687:WVN327731 F393223:F393267 JB393223:JB393267 SX393223:SX393267 ACT393223:ACT393267 AMP393223:AMP393267 AWL393223:AWL393267 BGH393223:BGH393267 BQD393223:BQD393267 BZZ393223:BZZ393267 CJV393223:CJV393267 CTR393223:CTR393267 DDN393223:DDN393267 DNJ393223:DNJ393267 DXF393223:DXF393267 EHB393223:EHB393267 EQX393223:EQX393267 FAT393223:FAT393267 FKP393223:FKP393267 FUL393223:FUL393267 GEH393223:GEH393267 GOD393223:GOD393267 GXZ393223:GXZ393267 HHV393223:HHV393267 HRR393223:HRR393267 IBN393223:IBN393267 ILJ393223:ILJ393267 IVF393223:IVF393267 JFB393223:JFB393267 JOX393223:JOX393267 JYT393223:JYT393267 KIP393223:KIP393267 KSL393223:KSL393267 LCH393223:LCH393267 LMD393223:LMD393267 LVZ393223:LVZ393267 MFV393223:MFV393267 MPR393223:MPR393267 MZN393223:MZN393267 NJJ393223:NJJ393267 NTF393223:NTF393267 ODB393223:ODB393267 OMX393223:OMX393267 OWT393223:OWT393267 PGP393223:PGP393267 PQL393223:PQL393267 QAH393223:QAH393267 QKD393223:QKD393267 QTZ393223:QTZ393267 RDV393223:RDV393267 RNR393223:RNR393267 RXN393223:RXN393267 SHJ393223:SHJ393267 SRF393223:SRF393267 TBB393223:TBB393267 TKX393223:TKX393267 TUT393223:TUT393267 UEP393223:UEP393267 UOL393223:UOL393267 UYH393223:UYH393267 VID393223:VID393267 VRZ393223:VRZ393267 WBV393223:WBV393267 WLR393223:WLR393267 WVN393223:WVN393267 F458759:F458803 JB458759:JB458803 SX458759:SX458803 ACT458759:ACT458803 AMP458759:AMP458803 AWL458759:AWL458803 BGH458759:BGH458803 BQD458759:BQD458803 BZZ458759:BZZ458803 CJV458759:CJV458803 CTR458759:CTR458803 DDN458759:DDN458803 DNJ458759:DNJ458803 DXF458759:DXF458803 EHB458759:EHB458803 EQX458759:EQX458803 FAT458759:FAT458803 FKP458759:FKP458803 FUL458759:FUL458803 GEH458759:GEH458803 GOD458759:GOD458803 GXZ458759:GXZ458803 HHV458759:HHV458803 HRR458759:HRR458803 IBN458759:IBN458803 ILJ458759:ILJ458803 IVF458759:IVF458803 JFB458759:JFB458803 JOX458759:JOX458803 JYT458759:JYT458803 KIP458759:KIP458803 KSL458759:KSL458803 LCH458759:LCH458803 LMD458759:LMD458803 LVZ458759:LVZ458803 MFV458759:MFV458803 MPR458759:MPR458803 MZN458759:MZN458803 NJJ458759:NJJ458803 NTF458759:NTF458803 ODB458759:ODB458803 OMX458759:OMX458803 OWT458759:OWT458803 PGP458759:PGP458803 PQL458759:PQL458803 QAH458759:QAH458803 QKD458759:QKD458803 QTZ458759:QTZ458803 RDV458759:RDV458803 RNR458759:RNR458803 RXN458759:RXN458803 SHJ458759:SHJ458803 SRF458759:SRF458803 TBB458759:TBB458803 TKX458759:TKX458803 TUT458759:TUT458803 UEP458759:UEP458803 UOL458759:UOL458803 UYH458759:UYH458803 VID458759:VID458803 VRZ458759:VRZ458803 WBV458759:WBV458803 WLR458759:WLR458803 WVN458759:WVN458803 F524295:F524339 JB524295:JB524339 SX524295:SX524339 ACT524295:ACT524339 AMP524295:AMP524339 AWL524295:AWL524339 BGH524295:BGH524339 BQD524295:BQD524339 BZZ524295:BZZ524339 CJV524295:CJV524339 CTR524295:CTR524339 DDN524295:DDN524339 DNJ524295:DNJ524339 DXF524295:DXF524339 EHB524295:EHB524339 EQX524295:EQX524339 FAT524295:FAT524339 FKP524295:FKP524339 FUL524295:FUL524339 GEH524295:GEH524339 GOD524295:GOD524339 GXZ524295:GXZ524339 HHV524295:HHV524339 HRR524295:HRR524339 IBN524295:IBN524339 ILJ524295:ILJ524339 IVF524295:IVF524339 JFB524295:JFB524339 JOX524295:JOX524339 JYT524295:JYT524339 KIP524295:KIP524339 KSL524295:KSL524339 LCH524295:LCH524339 LMD524295:LMD524339 LVZ524295:LVZ524339 MFV524295:MFV524339 MPR524295:MPR524339 MZN524295:MZN524339 NJJ524295:NJJ524339 NTF524295:NTF524339 ODB524295:ODB524339 OMX524295:OMX524339 OWT524295:OWT524339 PGP524295:PGP524339 PQL524295:PQL524339 QAH524295:QAH524339 QKD524295:QKD524339 QTZ524295:QTZ524339 RDV524295:RDV524339 RNR524295:RNR524339 RXN524295:RXN524339 SHJ524295:SHJ524339 SRF524295:SRF524339 TBB524295:TBB524339 TKX524295:TKX524339 TUT524295:TUT524339 UEP524295:UEP524339 UOL524295:UOL524339 UYH524295:UYH524339 VID524295:VID524339 VRZ524295:VRZ524339 WBV524295:WBV524339 WLR524295:WLR524339 WVN524295:WVN524339 F589831:F589875 JB589831:JB589875 SX589831:SX589875 ACT589831:ACT589875 AMP589831:AMP589875 AWL589831:AWL589875 BGH589831:BGH589875 BQD589831:BQD589875 BZZ589831:BZZ589875 CJV589831:CJV589875 CTR589831:CTR589875 DDN589831:DDN589875 DNJ589831:DNJ589875 DXF589831:DXF589875 EHB589831:EHB589875 EQX589831:EQX589875 FAT589831:FAT589875 FKP589831:FKP589875 FUL589831:FUL589875 GEH589831:GEH589875 GOD589831:GOD589875 GXZ589831:GXZ589875 HHV589831:HHV589875 HRR589831:HRR589875 IBN589831:IBN589875 ILJ589831:ILJ589875 IVF589831:IVF589875 JFB589831:JFB589875 JOX589831:JOX589875 JYT589831:JYT589875 KIP589831:KIP589875 KSL589831:KSL589875 LCH589831:LCH589875 LMD589831:LMD589875 LVZ589831:LVZ589875 MFV589831:MFV589875 MPR589831:MPR589875 MZN589831:MZN589875 NJJ589831:NJJ589875 NTF589831:NTF589875 ODB589831:ODB589875 OMX589831:OMX589875 OWT589831:OWT589875 PGP589831:PGP589875 PQL589831:PQL589875 QAH589831:QAH589875 QKD589831:QKD589875 QTZ589831:QTZ589875 RDV589831:RDV589875 RNR589831:RNR589875 RXN589831:RXN589875 SHJ589831:SHJ589875 SRF589831:SRF589875 TBB589831:TBB589875 TKX589831:TKX589875 TUT589831:TUT589875 UEP589831:UEP589875 UOL589831:UOL589875 UYH589831:UYH589875 VID589831:VID589875 VRZ589831:VRZ589875 WBV589831:WBV589875 WLR589831:WLR589875 WVN589831:WVN589875 F655367:F655411 JB655367:JB655411 SX655367:SX655411 ACT655367:ACT655411 AMP655367:AMP655411 AWL655367:AWL655411 BGH655367:BGH655411 BQD655367:BQD655411 BZZ655367:BZZ655411 CJV655367:CJV655411 CTR655367:CTR655411 DDN655367:DDN655411 DNJ655367:DNJ655411 DXF655367:DXF655411 EHB655367:EHB655411 EQX655367:EQX655411 FAT655367:FAT655411 FKP655367:FKP655411 FUL655367:FUL655411 GEH655367:GEH655411 GOD655367:GOD655411 GXZ655367:GXZ655411 HHV655367:HHV655411 HRR655367:HRR655411 IBN655367:IBN655411 ILJ655367:ILJ655411 IVF655367:IVF655411 JFB655367:JFB655411 JOX655367:JOX655411 JYT655367:JYT655411 KIP655367:KIP655411 KSL655367:KSL655411 LCH655367:LCH655411 LMD655367:LMD655411 LVZ655367:LVZ655411 MFV655367:MFV655411 MPR655367:MPR655411 MZN655367:MZN655411 NJJ655367:NJJ655411 NTF655367:NTF655411 ODB655367:ODB655411 OMX655367:OMX655411 OWT655367:OWT655411 PGP655367:PGP655411 PQL655367:PQL655411 QAH655367:QAH655411 QKD655367:QKD655411 QTZ655367:QTZ655411 RDV655367:RDV655411 RNR655367:RNR655411 RXN655367:RXN655411 SHJ655367:SHJ655411 SRF655367:SRF655411 TBB655367:TBB655411 TKX655367:TKX655411 TUT655367:TUT655411 UEP655367:UEP655411 UOL655367:UOL655411 UYH655367:UYH655411 VID655367:VID655411 VRZ655367:VRZ655411 WBV655367:WBV655411 WLR655367:WLR655411 WVN655367:WVN655411 F720903:F720947 JB720903:JB720947 SX720903:SX720947 ACT720903:ACT720947 AMP720903:AMP720947 AWL720903:AWL720947 BGH720903:BGH720947 BQD720903:BQD720947 BZZ720903:BZZ720947 CJV720903:CJV720947 CTR720903:CTR720947 DDN720903:DDN720947 DNJ720903:DNJ720947 DXF720903:DXF720947 EHB720903:EHB720947 EQX720903:EQX720947 FAT720903:FAT720947 FKP720903:FKP720947 FUL720903:FUL720947 GEH720903:GEH720947 GOD720903:GOD720947 GXZ720903:GXZ720947 HHV720903:HHV720947 HRR720903:HRR720947 IBN720903:IBN720947 ILJ720903:ILJ720947 IVF720903:IVF720947 JFB720903:JFB720947 JOX720903:JOX720947 JYT720903:JYT720947 KIP720903:KIP720947 KSL720903:KSL720947 LCH720903:LCH720947 LMD720903:LMD720947 LVZ720903:LVZ720947 MFV720903:MFV720947 MPR720903:MPR720947 MZN720903:MZN720947 NJJ720903:NJJ720947 NTF720903:NTF720947 ODB720903:ODB720947 OMX720903:OMX720947 OWT720903:OWT720947 PGP720903:PGP720947 PQL720903:PQL720947 QAH720903:QAH720947 QKD720903:QKD720947 QTZ720903:QTZ720947 RDV720903:RDV720947 RNR720903:RNR720947 RXN720903:RXN720947 SHJ720903:SHJ720947 SRF720903:SRF720947 TBB720903:TBB720947 TKX720903:TKX720947 TUT720903:TUT720947 UEP720903:UEP720947 UOL720903:UOL720947 UYH720903:UYH720947 VID720903:VID720947 VRZ720903:VRZ720947 WBV720903:WBV720947 WLR720903:WLR720947 WVN720903:WVN720947 F786439:F786483 JB786439:JB786483 SX786439:SX786483 ACT786439:ACT786483 AMP786439:AMP786483 AWL786439:AWL786483 BGH786439:BGH786483 BQD786439:BQD786483 BZZ786439:BZZ786483 CJV786439:CJV786483 CTR786439:CTR786483 DDN786439:DDN786483 DNJ786439:DNJ786483 DXF786439:DXF786483 EHB786439:EHB786483 EQX786439:EQX786483 FAT786439:FAT786483 FKP786439:FKP786483 FUL786439:FUL786483 GEH786439:GEH786483 GOD786439:GOD786483 GXZ786439:GXZ786483 HHV786439:HHV786483 HRR786439:HRR786483 IBN786439:IBN786483 ILJ786439:ILJ786483 IVF786439:IVF786483 JFB786439:JFB786483 JOX786439:JOX786483 JYT786439:JYT786483 KIP786439:KIP786483 KSL786439:KSL786483 LCH786439:LCH786483 LMD786439:LMD786483 LVZ786439:LVZ786483 MFV786439:MFV786483 MPR786439:MPR786483 MZN786439:MZN786483 NJJ786439:NJJ786483 NTF786439:NTF786483 ODB786439:ODB786483 OMX786439:OMX786483 OWT786439:OWT786483 PGP786439:PGP786483 PQL786439:PQL786483 QAH786439:QAH786483 QKD786439:QKD786483 QTZ786439:QTZ786483 RDV786439:RDV786483 RNR786439:RNR786483 RXN786439:RXN786483 SHJ786439:SHJ786483 SRF786439:SRF786483 TBB786439:TBB786483 TKX786439:TKX786483 TUT786439:TUT786483 UEP786439:UEP786483 UOL786439:UOL786483 UYH786439:UYH786483 VID786439:VID786483 VRZ786439:VRZ786483 WBV786439:WBV786483 WLR786439:WLR786483 WVN786439:WVN786483 F851975:F852019 JB851975:JB852019 SX851975:SX852019 ACT851975:ACT852019 AMP851975:AMP852019 AWL851975:AWL852019 BGH851975:BGH852019 BQD851975:BQD852019 BZZ851975:BZZ852019 CJV851975:CJV852019 CTR851975:CTR852019 DDN851975:DDN852019 DNJ851975:DNJ852019 DXF851975:DXF852019 EHB851975:EHB852019 EQX851975:EQX852019 FAT851975:FAT852019 FKP851975:FKP852019 FUL851975:FUL852019 GEH851975:GEH852019 GOD851975:GOD852019 GXZ851975:GXZ852019 HHV851975:HHV852019 HRR851975:HRR852019 IBN851975:IBN852019 ILJ851975:ILJ852019 IVF851975:IVF852019 JFB851975:JFB852019 JOX851975:JOX852019 JYT851975:JYT852019 KIP851975:KIP852019 KSL851975:KSL852019 LCH851975:LCH852019 LMD851975:LMD852019 LVZ851975:LVZ852019 MFV851975:MFV852019 MPR851975:MPR852019 MZN851975:MZN852019 NJJ851975:NJJ852019 NTF851975:NTF852019 ODB851975:ODB852019 OMX851975:OMX852019 OWT851975:OWT852019 PGP851975:PGP852019 PQL851975:PQL852019 QAH851975:QAH852019 QKD851975:QKD852019 QTZ851975:QTZ852019 RDV851975:RDV852019 RNR851975:RNR852019 RXN851975:RXN852019 SHJ851975:SHJ852019 SRF851975:SRF852019 TBB851975:TBB852019 TKX851975:TKX852019 TUT851975:TUT852019 UEP851975:UEP852019 UOL851975:UOL852019 UYH851975:UYH852019 VID851975:VID852019 VRZ851975:VRZ852019 WBV851975:WBV852019 WLR851975:WLR852019 WVN851975:WVN852019 F917511:F917555 JB917511:JB917555 SX917511:SX917555 ACT917511:ACT917555 AMP917511:AMP917555 AWL917511:AWL917555 BGH917511:BGH917555 BQD917511:BQD917555 BZZ917511:BZZ917555 CJV917511:CJV917555 CTR917511:CTR917555 DDN917511:DDN917555 DNJ917511:DNJ917555 DXF917511:DXF917555 EHB917511:EHB917555 EQX917511:EQX917555 FAT917511:FAT917555 FKP917511:FKP917555 FUL917511:FUL917555 GEH917511:GEH917555 GOD917511:GOD917555 GXZ917511:GXZ917555 HHV917511:HHV917555 HRR917511:HRR917555 IBN917511:IBN917555 ILJ917511:ILJ917555 IVF917511:IVF917555 JFB917511:JFB917555 JOX917511:JOX917555 JYT917511:JYT917555 KIP917511:KIP917555 KSL917511:KSL917555 LCH917511:LCH917555 LMD917511:LMD917555 LVZ917511:LVZ917555 MFV917511:MFV917555 MPR917511:MPR917555 MZN917511:MZN917555 NJJ917511:NJJ917555 NTF917511:NTF917555 ODB917511:ODB917555 OMX917511:OMX917555 OWT917511:OWT917555 PGP917511:PGP917555 PQL917511:PQL917555 QAH917511:QAH917555 QKD917511:QKD917555 QTZ917511:QTZ917555 RDV917511:RDV917555 RNR917511:RNR917555 RXN917511:RXN917555 SHJ917511:SHJ917555 SRF917511:SRF917555 TBB917511:TBB917555 TKX917511:TKX917555 TUT917511:TUT917555 UEP917511:UEP917555 UOL917511:UOL917555 UYH917511:UYH917555 VID917511:VID917555 VRZ917511:VRZ917555 WBV917511:WBV917555 WLR917511:WLR917555 WVN917511:WVN917555 F983047:F983091 JB983047:JB983091 SX983047:SX983091 ACT983047:ACT983091 AMP983047:AMP983091 AWL983047:AWL983091 BGH983047:BGH983091 BQD983047:BQD983091 BZZ983047:BZZ983091 CJV983047:CJV983091 CTR983047:CTR983091 DDN983047:DDN983091 DNJ983047:DNJ983091 DXF983047:DXF983091 EHB983047:EHB983091 EQX983047:EQX983091 FAT983047:FAT983091 FKP983047:FKP983091 FUL983047:FUL983091 GEH983047:GEH983091 GOD983047:GOD983091 GXZ983047:GXZ983091 HHV983047:HHV983091 HRR983047:HRR983091 IBN983047:IBN983091 ILJ983047:ILJ983091 IVF983047:IVF983091 JFB983047:JFB983091 JOX983047:JOX983091 JYT983047:JYT983091 KIP983047:KIP983091 KSL983047:KSL983091 LCH983047:LCH983091 LMD983047:LMD983091 LVZ983047:LVZ983091 MFV983047:MFV983091 MPR983047:MPR983091 MZN983047:MZN983091 NJJ983047:NJJ983091 NTF983047:NTF983091 ODB983047:ODB983091 OMX983047:OMX983091 OWT983047:OWT983091 PGP983047:PGP983091 PQL983047:PQL983091 QAH983047:QAH983091 QKD983047:QKD983091 QTZ983047:QTZ983091 RDV983047:RDV983091 RNR983047:RNR983091 RXN983047:RXN983091 SHJ983047:SHJ983091 SRF983047:SRF983091 TBB983047:TBB983091 TKX983047:TKX983091 TUT983047:TUT983091 UEP983047:UEP983091 UOL983047:UOL983091 UYH983047:UYH983091 VID983047:VID983091 VRZ983047:VRZ983091 WBV983047:WBV983091 WLR983047:WLR983091 WVN983047:WVN983091" xr:uid="{5A98A6AE-A14E-4502-B23D-73FE03858AF5}">
      <formula1>$AL$7:$AL$8</formula1>
    </dataValidation>
  </dataValidation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4C407-7301-4278-851C-A6C66B95BE11}">
  <sheetPr codeName="Hoja1"/>
  <dimension ref="B1:AL76"/>
  <sheetViews>
    <sheetView showGridLines="0" tabSelected="1" showWhiteSpace="0" topLeftCell="A2" zoomScale="70" zoomScaleNormal="70" workbookViewId="0">
      <pane xSplit="2" ySplit="5" topLeftCell="C7" activePane="bottomRight" state="frozen"/>
      <selection activeCell="A2" sqref="A2"/>
      <selection pane="topRight" activeCell="C2" sqref="C2"/>
      <selection pane="bottomLeft" activeCell="A7" sqref="A7"/>
      <selection pane="bottomRight" activeCell="D21" sqref="D21"/>
    </sheetView>
  </sheetViews>
  <sheetFormatPr baseColWidth="10" defaultColWidth="0" defaultRowHeight="12.75" customHeight="1" zeroHeight="1" x14ac:dyDescent="0.2"/>
  <cols>
    <col min="1" max="1" width="5.28515625" style="130" customWidth="1"/>
    <col min="2" max="3" width="15.85546875" style="130" customWidth="1"/>
    <col min="4" max="4" width="33.85546875" style="130" customWidth="1"/>
    <col min="5" max="5" width="32.5703125" style="130" customWidth="1"/>
    <col min="6" max="7" width="13.28515625" style="130" customWidth="1"/>
    <col min="8" max="9" width="7.140625" style="130" customWidth="1"/>
    <col min="10" max="11" width="7.140625" style="131" customWidth="1"/>
    <col min="12" max="12" width="19.140625" style="130" customWidth="1"/>
    <col min="13" max="13" width="11.85546875" style="130" customWidth="1"/>
    <col min="14" max="14" width="12" style="130" customWidth="1"/>
    <col min="15" max="16" width="12" style="131" customWidth="1"/>
    <col min="17" max="17" width="14.85546875" style="130" customWidth="1"/>
    <col min="18" max="18" width="12" style="130" customWidth="1"/>
    <col min="19" max="24" width="7.140625" style="130" customWidth="1"/>
    <col min="25" max="26" width="7.140625" style="131" customWidth="1"/>
    <col min="27" max="30" width="7.140625" style="130" customWidth="1"/>
    <col min="31" max="31" width="11.42578125" style="130" customWidth="1"/>
    <col min="32" max="32" width="12" style="130" customWidth="1"/>
    <col min="33" max="33" width="5.140625" style="130" customWidth="1"/>
    <col min="34" max="34" width="11.42578125" style="130" hidden="1" customWidth="1"/>
    <col min="35" max="35" width="13" style="130" hidden="1" customWidth="1"/>
    <col min="36" max="256" width="0" style="130" hidden="1"/>
    <col min="257" max="257" width="5.28515625" style="130" customWidth="1"/>
    <col min="258" max="259" width="15.85546875" style="130" customWidth="1"/>
    <col min="260" max="260" width="33.85546875" style="130" customWidth="1"/>
    <col min="261" max="261" width="32.5703125" style="130" customWidth="1"/>
    <col min="262" max="263" width="13.28515625" style="130" customWidth="1"/>
    <col min="264" max="267" width="7.140625" style="130" customWidth="1"/>
    <col min="268" max="268" width="19.140625" style="130" customWidth="1"/>
    <col min="269" max="269" width="11.85546875" style="130" customWidth="1"/>
    <col min="270" max="272" width="12" style="130" customWidth="1"/>
    <col min="273" max="273" width="14.85546875" style="130" customWidth="1"/>
    <col min="274" max="274" width="12" style="130" customWidth="1"/>
    <col min="275" max="286" width="7.140625" style="130" customWidth="1"/>
    <col min="287" max="287" width="11.42578125" style="130" customWidth="1"/>
    <col min="288" max="288" width="12" style="130" customWidth="1"/>
    <col min="289" max="289" width="5.140625" style="130" customWidth="1"/>
    <col min="290" max="512" width="0" style="130" hidden="1"/>
    <col min="513" max="513" width="5.28515625" style="130" customWidth="1"/>
    <col min="514" max="515" width="15.85546875" style="130" customWidth="1"/>
    <col min="516" max="516" width="33.85546875" style="130" customWidth="1"/>
    <col min="517" max="517" width="32.5703125" style="130" customWidth="1"/>
    <col min="518" max="519" width="13.28515625" style="130" customWidth="1"/>
    <col min="520" max="523" width="7.140625" style="130" customWidth="1"/>
    <col min="524" max="524" width="19.140625" style="130" customWidth="1"/>
    <col min="525" max="525" width="11.85546875" style="130" customWidth="1"/>
    <col min="526" max="528" width="12" style="130" customWidth="1"/>
    <col min="529" max="529" width="14.85546875" style="130" customWidth="1"/>
    <col min="530" max="530" width="12" style="130" customWidth="1"/>
    <col min="531" max="542" width="7.140625" style="130" customWidth="1"/>
    <col min="543" max="543" width="11.42578125" style="130" customWidth="1"/>
    <col min="544" max="544" width="12" style="130" customWidth="1"/>
    <col min="545" max="545" width="5.140625" style="130" customWidth="1"/>
    <col min="546" max="768" width="0" style="130" hidden="1"/>
    <col min="769" max="769" width="5.28515625" style="130" customWidth="1"/>
    <col min="770" max="771" width="15.85546875" style="130" customWidth="1"/>
    <col min="772" max="772" width="33.85546875" style="130" customWidth="1"/>
    <col min="773" max="773" width="32.5703125" style="130" customWidth="1"/>
    <col min="774" max="775" width="13.28515625" style="130" customWidth="1"/>
    <col min="776" max="779" width="7.140625" style="130" customWidth="1"/>
    <col min="780" max="780" width="19.140625" style="130" customWidth="1"/>
    <col min="781" max="781" width="11.85546875" style="130" customWidth="1"/>
    <col min="782" max="784" width="12" style="130" customWidth="1"/>
    <col min="785" max="785" width="14.85546875" style="130" customWidth="1"/>
    <col min="786" max="786" width="12" style="130" customWidth="1"/>
    <col min="787" max="798" width="7.140625" style="130" customWidth="1"/>
    <col min="799" max="799" width="11.42578125" style="130" customWidth="1"/>
    <col min="800" max="800" width="12" style="130" customWidth="1"/>
    <col min="801" max="801" width="5.140625" style="130" customWidth="1"/>
    <col min="802" max="1024" width="0" style="130" hidden="1"/>
    <col min="1025" max="1025" width="5.28515625" style="130" customWidth="1"/>
    <col min="1026" max="1027" width="15.85546875" style="130" customWidth="1"/>
    <col min="1028" max="1028" width="33.85546875" style="130" customWidth="1"/>
    <col min="1029" max="1029" width="32.5703125" style="130" customWidth="1"/>
    <col min="1030" max="1031" width="13.28515625" style="130" customWidth="1"/>
    <col min="1032" max="1035" width="7.140625" style="130" customWidth="1"/>
    <col min="1036" max="1036" width="19.140625" style="130" customWidth="1"/>
    <col min="1037" max="1037" width="11.85546875" style="130" customWidth="1"/>
    <col min="1038" max="1040" width="12" style="130" customWidth="1"/>
    <col min="1041" max="1041" width="14.85546875" style="130" customWidth="1"/>
    <col min="1042" max="1042" width="12" style="130" customWidth="1"/>
    <col min="1043" max="1054" width="7.140625" style="130" customWidth="1"/>
    <col min="1055" max="1055" width="11.42578125" style="130" customWidth="1"/>
    <col min="1056" max="1056" width="12" style="130" customWidth="1"/>
    <col min="1057" max="1057" width="5.140625" style="130" customWidth="1"/>
    <col min="1058" max="1280" width="0" style="130" hidden="1"/>
    <col min="1281" max="1281" width="5.28515625" style="130" customWidth="1"/>
    <col min="1282" max="1283" width="15.85546875" style="130" customWidth="1"/>
    <col min="1284" max="1284" width="33.85546875" style="130" customWidth="1"/>
    <col min="1285" max="1285" width="32.5703125" style="130" customWidth="1"/>
    <col min="1286" max="1287" width="13.28515625" style="130" customWidth="1"/>
    <col min="1288" max="1291" width="7.140625" style="130" customWidth="1"/>
    <col min="1292" max="1292" width="19.140625" style="130" customWidth="1"/>
    <col min="1293" max="1293" width="11.85546875" style="130" customWidth="1"/>
    <col min="1294" max="1296" width="12" style="130" customWidth="1"/>
    <col min="1297" max="1297" width="14.85546875" style="130" customWidth="1"/>
    <col min="1298" max="1298" width="12" style="130" customWidth="1"/>
    <col min="1299" max="1310" width="7.140625" style="130" customWidth="1"/>
    <col min="1311" max="1311" width="11.42578125" style="130" customWidth="1"/>
    <col min="1312" max="1312" width="12" style="130" customWidth="1"/>
    <col min="1313" max="1313" width="5.140625" style="130" customWidth="1"/>
    <col min="1314" max="1536" width="0" style="130" hidden="1"/>
    <col min="1537" max="1537" width="5.28515625" style="130" customWidth="1"/>
    <col min="1538" max="1539" width="15.85546875" style="130" customWidth="1"/>
    <col min="1540" max="1540" width="33.85546875" style="130" customWidth="1"/>
    <col min="1541" max="1541" width="32.5703125" style="130" customWidth="1"/>
    <col min="1542" max="1543" width="13.28515625" style="130" customWidth="1"/>
    <col min="1544" max="1547" width="7.140625" style="130" customWidth="1"/>
    <col min="1548" max="1548" width="19.140625" style="130" customWidth="1"/>
    <col min="1549" max="1549" width="11.85546875" style="130" customWidth="1"/>
    <col min="1550" max="1552" width="12" style="130" customWidth="1"/>
    <col min="1553" max="1553" width="14.85546875" style="130" customWidth="1"/>
    <col min="1554" max="1554" width="12" style="130" customWidth="1"/>
    <col min="1555" max="1566" width="7.140625" style="130" customWidth="1"/>
    <col min="1567" max="1567" width="11.42578125" style="130" customWidth="1"/>
    <col min="1568" max="1568" width="12" style="130" customWidth="1"/>
    <col min="1569" max="1569" width="5.140625" style="130" customWidth="1"/>
    <col min="1570" max="1792" width="0" style="130" hidden="1"/>
    <col min="1793" max="1793" width="5.28515625" style="130" customWidth="1"/>
    <col min="1794" max="1795" width="15.85546875" style="130" customWidth="1"/>
    <col min="1796" max="1796" width="33.85546875" style="130" customWidth="1"/>
    <col min="1797" max="1797" width="32.5703125" style="130" customWidth="1"/>
    <col min="1798" max="1799" width="13.28515625" style="130" customWidth="1"/>
    <col min="1800" max="1803" width="7.140625" style="130" customWidth="1"/>
    <col min="1804" max="1804" width="19.140625" style="130" customWidth="1"/>
    <col min="1805" max="1805" width="11.85546875" style="130" customWidth="1"/>
    <col min="1806" max="1808" width="12" style="130" customWidth="1"/>
    <col min="1809" max="1809" width="14.85546875" style="130" customWidth="1"/>
    <col min="1810" max="1810" width="12" style="130" customWidth="1"/>
    <col min="1811" max="1822" width="7.140625" style="130" customWidth="1"/>
    <col min="1823" max="1823" width="11.42578125" style="130" customWidth="1"/>
    <col min="1824" max="1824" width="12" style="130" customWidth="1"/>
    <col min="1825" max="1825" width="5.140625" style="130" customWidth="1"/>
    <col min="1826" max="2048" width="0" style="130" hidden="1"/>
    <col min="2049" max="2049" width="5.28515625" style="130" customWidth="1"/>
    <col min="2050" max="2051" width="15.85546875" style="130" customWidth="1"/>
    <col min="2052" max="2052" width="33.85546875" style="130" customWidth="1"/>
    <col min="2053" max="2053" width="32.5703125" style="130" customWidth="1"/>
    <col min="2054" max="2055" width="13.28515625" style="130" customWidth="1"/>
    <col min="2056" max="2059" width="7.140625" style="130" customWidth="1"/>
    <col min="2060" max="2060" width="19.140625" style="130" customWidth="1"/>
    <col min="2061" max="2061" width="11.85546875" style="130" customWidth="1"/>
    <col min="2062" max="2064" width="12" style="130" customWidth="1"/>
    <col min="2065" max="2065" width="14.85546875" style="130" customWidth="1"/>
    <col min="2066" max="2066" width="12" style="130" customWidth="1"/>
    <col min="2067" max="2078" width="7.140625" style="130" customWidth="1"/>
    <col min="2079" max="2079" width="11.42578125" style="130" customWidth="1"/>
    <col min="2080" max="2080" width="12" style="130" customWidth="1"/>
    <col min="2081" max="2081" width="5.140625" style="130" customWidth="1"/>
    <col min="2082" max="2304" width="0" style="130" hidden="1"/>
    <col min="2305" max="2305" width="5.28515625" style="130" customWidth="1"/>
    <col min="2306" max="2307" width="15.85546875" style="130" customWidth="1"/>
    <col min="2308" max="2308" width="33.85546875" style="130" customWidth="1"/>
    <col min="2309" max="2309" width="32.5703125" style="130" customWidth="1"/>
    <col min="2310" max="2311" width="13.28515625" style="130" customWidth="1"/>
    <col min="2312" max="2315" width="7.140625" style="130" customWidth="1"/>
    <col min="2316" max="2316" width="19.140625" style="130" customWidth="1"/>
    <col min="2317" max="2317" width="11.85546875" style="130" customWidth="1"/>
    <col min="2318" max="2320" width="12" style="130" customWidth="1"/>
    <col min="2321" max="2321" width="14.85546875" style="130" customWidth="1"/>
    <col min="2322" max="2322" width="12" style="130" customWidth="1"/>
    <col min="2323" max="2334" width="7.140625" style="130" customWidth="1"/>
    <col min="2335" max="2335" width="11.42578125" style="130" customWidth="1"/>
    <col min="2336" max="2336" width="12" style="130" customWidth="1"/>
    <col min="2337" max="2337" width="5.140625" style="130" customWidth="1"/>
    <col min="2338" max="2560" width="0" style="130" hidden="1"/>
    <col min="2561" max="2561" width="5.28515625" style="130" customWidth="1"/>
    <col min="2562" max="2563" width="15.85546875" style="130" customWidth="1"/>
    <col min="2564" max="2564" width="33.85546875" style="130" customWidth="1"/>
    <col min="2565" max="2565" width="32.5703125" style="130" customWidth="1"/>
    <col min="2566" max="2567" width="13.28515625" style="130" customWidth="1"/>
    <col min="2568" max="2571" width="7.140625" style="130" customWidth="1"/>
    <col min="2572" max="2572" width="19.140625" style="130" customWidth="1"/>
    <col min="2573" max="2573" width="11.85546875" style="130" customWidth="1"/>
    <col min="2574" max="2576" width="12" style="130" customWidth="1"/>
    <col min="2577" max="2577" width="14.85546875" style="130" customWidth="1"/>
    <col min="2578" max="2578" width="12" style="130" customWidth="1"/>
    <col min="2579" max="2590" width="7.140625" style="130" customWidth="1"/>
    <col min="2591" max="2591" width="11.42578125" style="130" customWidth="1"/>
    <col min="2592" max="2592" width="12" style="130" customWidth="1"/>
    <col min="2593" max="2593" width="5.140625" style="130" customWidth="1"/>
    <col min="2594" max="2816" width="0" style="130" hidden="1"/>
    <col min="2817" max="2817" width="5.28515625" style="130" customWidth="1"/>
    <col min="2818" max="2819" width="15.85546875" style="130" customWidth="1"/>
    <col min="2820" max="2820" width="33.85546875" style="130" customWidth="1"/>
    <col min="2821" max="2821" width="32.5703125" style="130" customWidth="1"/>
    <col min="2822" max="2823" width="13.28515625" style="130" customWidth="1"/>
    <col min="2824" max="2827" width="7.140625" style="130" customWidth="1"/>
    <col min="2828" max="2828" width="19.140625" style="130" customWidth="1"/>
    <col min="2829" max="2829" width="11.85546875" style="130" customWidth="1"/>
    <col min="2830" max="2832" width="12" style="130" customWidth="1"/>
    <col min="2833" max="2833" width="14.85546875" style="130" customWidth="1"/>
    <col min="2834" max="2834" width="12" style="130" customWidth="1"/>
    <col min="2835" max="2846" width="7.140625" style="130" customWidth="1"/>
    <col min="2847" max="2847" width="11.42578125" style="130" customWidth="1"/>
    <col min="2848" max="2848" width="12" style="130" customWidth="1"/>
    <col min="2849" max="2849" width="5.140625" style="130" customWidth="1"/>
    <col min="2850" max="3072" width="0" style="130" hidden="1"/>
    <col min="3073" max="3073" width="5.28515625" style="130" customWidth="1"/>
    <col min="3074" max="3075" width="15.85546875" style="130" customWidth="1"/>
    <col min="3076" max="3076" width="33.85546875" style="130" customWidth="1"/>
    <col min="3077" max="3077" width="32.5703125" style="130" customWidth="1"/>
    <col min="3078" max="3079" width="13.28515625" style="130" customWidth="1"/>
    <col min="3080" max="3083" width="7.140625" style="130" customWidth="1"/>
    <col min="3084" max="3084" width="19.140625" style="130" customWidth="1"/>
    <col min="3085" max="3085" width="11.85546875" style="130" customWidth="1"/>
    <col min="3086" max="3088" width="12" style="130" customWidth="1"/>
    <col min="3089" max="3089" width="14.85546875" style="130" customWidth="1"/>
    <col min="3090" max="3090" width="12" style="130" customWidth="1"/>
    <col min="3091" max="3102" width="7.140625" style="130" customWidth="1"/>
    <col min="3103" max="3103" width="11.42578125" style="130" customWidth="1"/>
    <col min="3104" max="3104" width="12" style="130" customWidth="1"/>
    <col min="3105" max="3105" width="5.140625" style="130" customWidth="1"/>
    <col min="3106" max="3328" width="0" style="130" hidden="1"/>
    <col min="3329" max="3329" width="5.28515625" style="130" customWidth="1"/>
    <col min="3330" max="3331" width="15.85546875" style="130" customWidth="1"/>
    <col min="3332" max="3332" width="33.85546875" style="130" customWidth="1"/>
    <col min="3333" max="3333" width="32.5703125" style="130" customWidth="1"/>
    <col min="3334" max="3335" width="13.28515625" style="130" customWidth="1"/>
    <col min="3336" max="3339" width="7.140625" style="130" customWidth="1"/>
    <col min="3340" max="3340" width="19.140625" style="130" customWidth="1"/>
    <col min="3341" max="3341" width="11.85546875" style="130" customWidth="1"/>
    <col min="3342" max="3344" width="12" style="130" customWidth="1"/>
    <col min="3345" max="3345" width="14.85546875" style="130" customWidth="1"/>
    <col min="3346" max="3346" width="12" style="130" customWidth="1"/>
    <col min="3347" max="3358" width="7.140625" style="130" customWidth="1"/>
    <col min="3359" max="3359" width="11.42578125" style="130" customWidth="1"/>
    <col min="3360" max="3360" width="12" style="130" customWidth="1"/>
    <col min="3361" max="3361" width="5.140625" style="130" customWidth="1"/>
    <col min="3362" max="3584" width="0" style="130" hidden="1"/>
    <col min="3585" max="3585" width="5.28515625" style="130" customWidth="1"/>
    <col min="3586" max="3587" width="15.85546875" style="130" customWidth="1"/>
    <col min="3588" max="3588" width="33.85546875" style="130" customWidth="1"/>
    <col min="3589" max="3589" width="32.5703125" style="130" customWidth="1"/>
    <col min="3590" max="3591" width="13.28515625" style="130" customWidth="1"/>
    <col min="3592" max="3595" width="7.140625" style="130" customWidth="1"/>
    <col min="3596" max="3596" width="19.140625" style="130" customWidth="1"/>
    <col min="3597" max="3597" width="11.85546875" style="130" customWidth="1"/>
    <col min="3598" max="3600" width="12" style="130" customWidth="1"/>
    <col min="3601" max="3601" width="14.85546875" style="130" customWidth="1"/>
    <col min="3602" max="3602" width="12" style="130" customWidth="1"/>
    <col min="3603" max="3614" width="7.140625" style="130" customWidth="1"/>
    <col min="3615" max="3615" width="11.42578125" style="130" customWidth="1"/>
    <col min="3616" max="3616" width="12" style="130" customWidth="1"/>
    <col min="3617" max="3617" width="5.140625" style="130" customWidth="1"/>
    <col min="3618" max="3840" width="0" style="130" hidden="1"/>
    <col min="3841" max="3841" width="5.28515625" style="130" customWidth="1"/>
    <col min="3842" max="3843" width="15.85546875" style="130" customWidth="1"/>
    <col min="3844" max="3844" width="33.85546875" style="130" customWidth="1"/>
    <col min="3845" max="3845" width="32.5703125" style="130" customWidth="1"/>
    <col min="3846" max="3847" width="13.28515625" style="130" customWidth="1"/>
    <col min="3848" max="3851" width="7.140625" style="130" customWidth="1"/>
    <col min="3852" max="3852" width="19.140625" style="130" customWidth="1"/>
    <col min="3853" max="3853" width="11.85546875" style="130" customWidth="1"/>
    <col min="3854" max="3856" width="12" style="130" customWidth="1"/>
    <col min="3857" max="3857" width="14.85546875" style="130" customWidth="1"/>
    <col min="3858" max="3858" width="12" style="130" customWidth="1"/>
    <col min="3859" max="3870" width="7.140625" style="130" customWidth="1"/>
    <col min="3871" max="3871" width="11.42578125" style="130" customWidth="1"/>
    <col min="3872" max="3872" width="12" style="130" customWidth="1"/>
    <col min="3873" max="3873" width="5.140625" style="130" customWidth="1"/>
    <col min="3874" max="4096" width="0" style="130" hidden="1"/>
    <col min="4097" max="4097" width="5.28515625" style="130" customWidth="1"/>
    <col min="4098" max="4099" width="15.85546875" style="130" customWidth="1"/>
    <col min="4100" max="4100" width="33.85546875" style="130" customWidth="1"/>
    <col min="4101" max="4101" width="32.5703125" style="130" customWidth="1"/>
    <col min="4102" max="4103" width="13.28515625" style="130" customWidth="1"/>
    <col min="4104" max="4107" width="7.140625" style="130" customWidth="1"/>
    <col min="4108" max="4108" width="19.140625" style="130" customWidth="1"/>
    <col min="4109" max="4109" width="11.85546875" style="130" customWidth="1"/>
    <col min="4110" max="4112" width="12" style="130" customWidth="1"/>
    <col min="4113" max="4113" width="14.85546875" style="130" customWidth="1"/>
    <col min="4114" max="4114" width="12" style="130" customWidth="1"/>
    <col min="4115" max="4126" width="7.140625" style="130" customWidth="1"/>
    <col min="4127" max="4127" width="11.42578125" style="130" customWidth="1"/>
    <col min="4128" max="4128" width="12" style="130" customWidth="1"/>
    <col min="4129" max="4129" width="5.140625" style="130" customWidth="1"/>
    <col min="4130" max="4352" width="0" style="130" hidden="1"/>
    <col min="4353" max="4353" width="5.28515625" style="130" customWidth="1"/>
    <col min="4354" max="4355" width="15.85546875" style="130" customWidth="1"/>
    <col min="4356" max="4356" width="33.85546875" style="130" customWidth="1"/>
    <col min="4357" max="4357" width="32.5703125" style="130" customWidth="1"/>
    <col min="4358" max="4359" width="13.28515625" style="130" customWidth="1"/>
    <col min="4360" max="4363" width="7.140625" style="130" customWidth="1"/>
    <col min="4364" max="4364" width="19.140625" style="130" customWidth="1"/>
    <col min="4365" max="4365" width="11.85546875" style="130" customWidth="1"/>
    <col min="4366" max="4368" width="12" style="130" customWidth="1"/>
    <col min="4369" max="4369" width="14.85546875" style="130" customWidth="1"/>
    <col min="4370" max="4370" width="12" style="130" customWidth="1"/>
    <col min="4371" max="4382" width="7.140625" style="130" customWidth="1"/>
    <col min="4383" max="4383" width="11.42578125" style="130" customWidth="1"/>
    <col min="4384" max="4384" width="12" style="130" customWidth="1"/>
    <col min="4385" max="4385" width="5.140625" style="130" customWidth="1"/>
    <col min="4386" max="4608" width="0" style="130" hidden="1"/>
    <col min="4609" max="4609" width="5.28515625" style="130" customWidth="1"/>
    <col min="4610" max="4611" width="15.85546875" style="130" customWidth="1"/>
    <col min="4612" max="4612" width="33.85546875" style="130" customWidth="1"/>
    <col min="4613" max="4613" width="32.5703125" style="130" customWidth="1"/>
    <col min="4614" max="4615" width="13.28515625" style="130" customWidth="1"/>
    <col min="4616" max="4619" width="7.140625" style="130" customWidth="1"/>
    <col min="4620" max="4620" width="19.140625" style="130" customWidth="1"/>
    <col min="4621" max="4621" width="11.85546875" style="130" customWidth="1"/>
    <col min="4622" max="4624" width="12" style="130" customWidth="1"/>
    <col min="4625" max="4625" width="14.85546875" style="130" customWidth="1"/>
    <col min="4626" max="4626" width="12" style="130" customWidth="1"/>
    <col min="4627" max="4638" width="7.140625" style="130" customWidth="1"/>
    <col min="4639" max="4639" width="11.42578125" style="130" customWidth="1"/>
    <col min="4640" max="4640" width="12" style="130" customWidth="1"/>
    <col min="4641" max="4641" width="5.140625" style="130" customWidth="1"/>
    <col min="4642" max="4864" width="0" style="130" hidden="1"/>
    <col min="4865" max="4865" width="5.28515625" style="130" customWidth="1"/>
    <col min="4866" max="4867" width="15.85546875" style="130" customWidth="1"/>
    <col min="4868" max="4868" width="33.85546875" style="130" customWidth="1"/>
    <col min="4869" max="4869" width="32.5703125" style="130" customWidth="1"/>
    <col min="4870" max="4871" width="13.28515625" style="130" customWidth="1"/>
    <col min="4872" max="4875" width="7.140625" style="130" customWidth="1"/>
    <col min="4876" max="4876" width="19.140625" style="130" customWidth="1"/>
    <col min="4877" max="4877" width="11.85546875" style="130" customWidth="1"/>
    <col min="4878" max="4880" width="12" style="130" customWidth="1"/>
    <col min="4881" max="4881" width="14.85546875" style="130" customWidth="1"/>
    <col min="4882" max="4882" width="12" style="130" customWidth="1"/>
    <col min="4883" max="4894" width="7.140625" style="130" customWidth="1"/>
    <col min="4895" max="4895" width="11.42578125" style="130" customWidth="1"/>
    <col min="4896" max="4896" width="12" style="130" customWidth="1"/>
    <col min="4897" max="4897" width="5.140625" style="130" customWidth="1"/>
    <col min="4898" max="5120" width="0" style="130" hidden="1"/>
    <col min="5121" max="5121" width="5.28515625" style="130" customWidth="1"/>
    <col min="5122" max="5123" width="15.85546875" style="130" customWidth="1"/>
    <col min="5124" max="5124" width="33.85546875" style="130" customWidth="1"/>
    <col min="5125" max="5125" width="32.5703125" style="130" customWidth="1"/>
    <col min="5126" max="5127" width="13.28515625" style="130" customWidth="1"/>
    <col min="5128" max="5131" width="7.140625" style="130" customWidth="1"/>
    <col min="5132" max="5132" width="19.140625" style="130" customWidth="1"/>
    <col min="5133" max="5133" width="11.85546875" style="130" customWidth="1"/>
    <col min="5134" max="5136" width="12" style="130" customWidth="1"/>
    <col min="5137" max="5137" width="14.85546875" style="130" customWidth="1"/>
    <col min="5138" max="5138" width="12" style="130" customWidth="1"/>
    <col min="5139" max="5150" width="7.140625" style="130" customWidth="1"/>
    <col min="5151" max="5151" width="11.42578125" style="130" customWidth="1"/>
    <col min="5152" max="5152" width="12" style="130" customWidth="1"/>
    <col min="5153" max="5153" width="5.140625" style="130" customWidth="1"/>
    <col min="5154" max="5376" width="0" style="130" hidden="1"/>
    <col min="5377" max="5377" width="5.28515625" style="130" customWidth="1"/>
    <col min="5378" max="5379" width="15.85546875" style="130" customWidth="1"/>
    <col min="5380" max="5380" width="33.85546875" style="130" customWidth="1"/>
    <col min="5381" max="5381" width="32.5703125" style="130" customWidth="1"/>
    <col min="5382" max="5383" width="13.28515625" style="130" customWidth="1"/>
    <col min="5384" max="5387" width="7.140625" style="130" customWidth="1"/>
    <col min="5388" max="5388" width="19.140625" style="130" customWidth="1"/>
    <col min="5389" max="5389" width="11.85546875" style="130" customWidth="1"/>
    <col min="5390" max="5392" width="12" style="130" customWidth="1"/>
    <col min="5393" max="5393" width="14.85546875" style="130" customWidth="1"/>
    <col min="5394" max="5394" width="12" style="130" customWidth="1"/>
    <col min="5395" max="5406" width="7.140625" style="130" customWidth="1"/>
    <col min="5407" max="5407" width="11.42578125" style="130" customWidth="1"/>
    <col min="5408" max="5408" width="12" style="130" customWidth="1"/>
    <col min="5409" max="5409" width="5.140625" style="130" customWidth="1"/>
    <col min="5410" max="5632" width="0" style="130" hidden="1"/>
    <col min="5633" max="5633" width="5.28515625" style="130" customWidth="1"/>
    <col min="5634" max="5635" width="15.85546875" style="130" customWidth="1"/>
    <col min="5636" max="5636" width="33.85546875" style="130" customWidth="1"/>
    <col min="5637" max="5637" width="32.5703125" style="130" customWidth="1"/>
    <col min="5638" max="5639" width="13.28515625" style="130" customWidth="1"/>
    <col min="5640" max="5643" width="7.140625" style="130" customWidth="1"/>
    <col min="5644" max="5644" width="19.140625" style="130" customWidth="1"/>
    <col min="5645" max="5645" width="11.85546875" style="130" customWidth="1"/>
    <col min="5646" max="5648" width="12" style="130" customWidth="1"/>
    <col min="5649" max="5649" width="14.85546875" style="130" customWidth="1"/>
    <col min="5650" max="5650" width="12" style="130" customWidth="1"/>
    <col min="5651" max="5662" width="7.140625" style="130" customWidth="1"/>
    <col min="5663" max="5663" width="11.42578125" style="130" customWidth="1"/>
    <col min="5664" max="5664" width="12" style="130" customWidth="1"/>
    <col min="5665" max="5665" width="5.140625" style="130" customWidth="1"/>
    <col min="5666" max="5888" width="0" style="130" hidden="1"/>
    <col min="5889" max="5889" width="5.28515625" style="130" customWidth="1"/>
    <col min="5890" max="5891" width="15.85546875" style="130" customWidth="1"/>
    <col min="5892" max="5892" width="33.85546875" style="130" customWidth="1"/>
    <col min="5893" max="5893" width="32.5703125" style="130" customWidth="1"/>
    <col min="5894" max="5895" width="13.28515625" style="130" customWidth="1"/>
    <col min="5896" max="5899" width="7.140625" style="130" customWidth="1"/>
    <col min="5900" max="5900" width="19.140625" style="130" customWidth="1"/>
    <col min="5901" max="5901" width="11.85546875" style="130" customWidth="1"/>
    <col min="5902" max="5904" width="12" style="130" customWidth="1"/>
    <col min="5905" max="5905" width="14.85546875" style="130" customWidth="1"/>
    <col min="5906" max="5906" width="12" style="130" customWidth="1"/>
    <col min="5907" max="5918" width="7.140625" style="130" customWidth="1"/>
    <col min="5919" max="5919" width="11.42578125" style="130" customWidth="1"/>
    <col min="5920" max="5920" width="12" style="130" customWidth="1"/>
    <col min="5921" max="5921" width="5.140625" style="130" customWidth="1"/>
    <col min="5922" max="6144" width="0" style="130" hidden="1"/>
    <col min="6145" max="6145" width="5.28515625" style="130" customWidth="1"/>
    <col min="6146" max="6147" width="15.85546875" style="130" customWidth="1"/>
    <col min="6148" max="6148" width="33.85546875" style="130" customWidth="1"/>
    <col min="6149" max="6149" width="32.5703125" style="130" customWidth="1"/>
    <col min="6150" max="6151" width="13.28515625" style="130" customWidth="1"/>
    <col min="6152" max="6155" width="7.140625" style="130" customWidth="1"/>
    <col min="6156" max="6156" width="19.140625" style="130" customWidth="1"/>
    <col min="6157" max="6157" width="11.85546875" style="130" customWidth="1"/>
    <col min="6158" max="6160" width="12" style="130" customWidth="1"/>
    <col min="6161" max="6161" width="14.85546875" style="130" customWidth="1"/>
    <col min="6162" max="6162" width="12" style="130" customWidth="1"/>
    <col min="6163" max="6174" width="7.140625" style="130" customWidth="1"/>
    <col min="6175" max="6175" width="11.42578125" style="130" customWidth="1"/>
    <col min="6176" max="6176" width="12" style="130" customWidth="1"/>
    <col min="6177" max="6177" width="5.140625" style="130" customWidth="1"/>
    <col min="6178" max="6400" width="0" style="130" hidden="1"/>
    <col min="6401" max="6401" width="5.28515625" style="130" customWidth="1"/>
    <col min="6402" max="6403" width="15.85546875" style="130" customWidth="1"/>
    <col min="6404" max="6404" width="33.85546875" style="130" customWidth="1"/>
    <col min="6405" max="6405" width="32.5703125" style="130" customWidth="1"/>
    <col min="6406" max="6407" width="13.28515625" style="130" customWidth="1"/>
    <col min="6408" max="6411" width="7.140625" style="130" customWidth="1"/>
    <col min="6412" max="6412" width="19.140625" style="130" customWidth="1"/>
    <col min="6413" max="6413" width="11.85546875" style="130" customWidth="1"/>
    <col min="6414" max="6416" width="12" style="130" customWidth="1"/>
    <col min="6417" max="6417" width="14.85546875" style="130" customWidth="1"/>
    <col min="6418" max="6418" width="12" style="130" customWidth="1"/>
    <col min="6419" max="6430" width="7.140625" style="130" customWidth="1"/>
    <col min="6431" max="6431" width="11.42578125" style="130" customWidth="1"/>
    <col min="6432" max="6432" width="12" style="130" customWidth="1"/>
    <col min="6433" max="6433" width="5.140625" style="130" customWidth="1"/>
    <col min="6434" max="6656" width="0" style="130" hidden="1"/>
    <col min="6657" max="6657" width="5.28515625" style="130" customWidth="1"/>
    <col min="6658" max="6659" width="15.85546875" style="130" customWidth="1"/>
    <col min="6660" max="6660" width="33.85546875" style="130" customWidth="1"/>
    <col min="6661" max="6661" width="32.5703125" style="130" customWidth="1"/>
    <col min="6662" max="6663" width="13.28515625" style="130" customWidth="1"/>
    <col min="6664" max="6667" width="7.140625" style="130" customWidth="1"/>
    <col min="6668" max="6668" width="19.140625" style="130" customWidth="1"/>
    <col min="6669" max="6669" width="11.85546875" style="130" customWidth="1"/>
    <col min="6670" max="6672" width="12" style="130" customWidth="1"/>
    <col min="6673" max="6673" width="14.85546875" style="130" customWidth="1"/>
    <col min="6674" max="6674" width="12" style="130" customWidth="1"/>
    <col min="6675" max="6686" width="7.140625" style="130" customWidth="1"/>
    <col min="6687" max="6687" width="11.42578125" style="130" customWidth="1"/>
    <col min="6688" max="6688" width="12" style="130" customWidth="1"/>
    <col min="6689" max="6689" width="5.140625" style="130" customWidth="1"/>
    <col min="6690" max="6912" width="0" style="130" hidden="1"/>
    <col min="6913" max="6913" width="5.28515625" style="130" customWidth="1"/>
    <col min="6914" max="6915" width="15.85546875" style="130" customWidth="1"/>
    <col min="6916" max="6916" width="33.85546875" style="130" customWidth="1"/>
    <col min="6917" max="6917" width="32.5703125" style="130" customWidth="1"/>
    <col min="6918" max="6919" width="13.28515625" style="130" customWidth="1"/>
    <col min="6920" max="6923" width="7.140625" style="130" customWidth="1"/>
    <col min="6924" max="6924" width="19.140625" style="130" customWidth="1"/>
    <col min="6925" max="6925" width="11.85546875" style="130" customWidth="1"/>
    <col min="6926" max="6928" width="12" style="130" customWidth="1"/>
    <col min="6929" max="6929" width="14.85546875" style="130" customWidth="1"/>
    <col min="6930" max="6930" width="12" style="130" customWidth="1"/>
    <col min="6931" max="6942" width="7.140625" style="130" customWidth="1"/>
    <col min="6943" max="6943" width="11.42578125" style="130" customWidth="1"/>
    <col min="6944" max="6944" width="12" style="130" customWidth="1"/>
    <col min="6945" max="6945" width="5.140625" style="130" customWidth="1"/>
    <col min="6946" max="7168" width="0" style="130" hidden="1"/>
    <col min="7169" max="7169" width="5.28515625" style="130" customWidth="1"/>
    <col min="7170" max="7171" width="15.85546875" style="130" customWidth="1"/>
    <col min="7172" max="7172" width="33.85546875" style="130" customWidth="1"/>
    <col min="7173" max="7173" width="32.5703125" style="130" customWidth="1"/>
    <col min="7174" max="7175" width="13.28515625" style="130" customWidth="1"/>
    <col min="7176" max="7179" width="7.140625" style="130" customWidth="1"/>
    <col min="7180" max="7180" width="19.140625" style="130" customWidth="1"/>
    <col min="7181" max="7181" width="11.85546875" style="130" customWidth="1"/>
    <col min="7182" max="7184" width="12" style="130" customWidth="1"/>
    <col min="7185" max="7185" width="14.85546875" style="130" customWidth="1"/>
    <col min="7186" max="7186" width="12" style="130" customWidth="1"/>
    <col min="7187" max="7198" width="7.140625" style="130" customWidth="1"/>
    <col min="7199" max="7199" width="11.42578125" style="130" customWidth="1"/>
    <col min="7200" max="7200" width="12" style="130" customWidth="1"/>
    <col min="7201" max="7201" width="5.140625" style="130" customWidth="1"/>
    <col min="7202" max="7424" width="0" style="130" hidden="1"/>
    <col min="7425" max="7425" width="5.28515625" style="130" customWidth="1"/>
    <col min="7426" max="7427" width="15.85546875" style="130" customWidth="1"/>
    <col min="7428" max="7428" width="33.85546875" style="130" customWidth="1"/>
    <col min="7429" max="7429" width="32.5703125" style="130" customWidth="1"/>
    <col min="7430" max="7431" width="13.28515625" style="130" customWidth="1"/>
    <col min="7432" max="7435" width="7.140625" style="130" customWidth="1"/>
    <col min="7436" max="7436" width="19.140625" style="130" customWidth="1"/>
    <col min="7437" max="7437" width="11.85546875" style="130" customWidth="1"/>
    <col min="7438" max="7440" width="12" style="130" customWidth="1"/>
    <col min="7441" max="7441" width="14.85546875" style="130" customWidth="1"/>
    <col min="7442" max="7442" width="12" style="130" customWidth="1"/>
    <col min="7443" max="7454" width="7.140625" style="130" customWidth="1"/>
    <col min="7455" max="7455" width="11.42578125" style="130" customWidth="1"/>
    <col min="7456" max="7456" width="12" style="130" customWidth="1"/>
    <col min="7457" max="7457" width="5.140625" style="130" customWidth="1"/>
    <col min="7458" max="7680" width="0" style="130" hidden="1"/>
    <col min="7681" max="7681" width="5.28515625" style="130" customWidth="1"/>
    <col min="7682" max="7683" width="15.85546875" style="130" customWidth="1"/>
    <col min="7684" max="7684" width="33.85546875" style="130" customWidth="1"/>
    <col min="7685" max="7685" width="32.5703125" style="130" customWidth="1"/>
    <col min="7686" max="7687" width="13.28515625" style="130" customWidth="1"/>
    <col min="7688" max="7691" width="7.140625" style="130" customWidth="1"/>
    <col min="7692" max="7692" width="19.140625" style="130" customWidth="1"/>
    <col min="7693" max="7693" width="11.85546875" style="130" customWidth="1"/>
    <col min="7694" max="7696" width="12" style="130" customWidth="1"/>
    <col min="7697" max="7697" width="14.85546875" style="130" customWidth="1"/>
    <col min="7698" max="7698" width="12" style="130" customWidth="1"/>
    <col min="7699" max="7710" width="7.140625" style="130" customWidth="1"/>
    <col min="7711" max="7711" width="11.42578125" style="130" customWidth="1"/>
    <col min="7712" max="7712" width="12" style="130" customWidth="1"/>
    <col min="7713" max="7713" width="5.140625" style="130" customWidth="1"/>
    <col min="7714" max="7936" width="0" style="130" hidden="1"/>
    <col min="7937" max="7937" width="5.28515625" style="130" customWidth="1"/>
    <col min="7938" max="7939" width="15.85546875" style="130" customWidth="1"/>
    <col min="7940" max="7940" width="33.85546875" style="130" customWidth="1"/>
    <col min="7941" max="7941" width="32.5703125" style="130" customWidth="1"/>
    <col min="7942" max="7943" width="13.28515625" style="130" customWidth="1"/>
    <col min="7944" max="7947" width="7.140625" style="130" customWidth="1"/>
    <col min="7948" max="7948" width="19.140625" style="130" customWidth="1"/>
    <col min="7949" max="7949" width="11.85546875" style="130" customWidth="1"/>
    <col min="7950" max="7952" width="12" style="130" customWidth="1"/>
    <col min="7953" max="7953" width="14.85546875" style="130" customWidth="1"/>
    <col min="7954" max="7954" width="12" style="130" customWidth="1"/>
    <col min="7955" max="7966" width="7.140625" style="130" customWidth="1"/>
    <col min="7967" max="7967" width="11.42578125" style="130" customWidth="1"/>
    <col min="7968" max="7968" width="12" style="130" customWidth="1"/>
    <col min="7969" max="7969" width="5.140625" style="130" customWidth="1"/>
    <col min="7970" max="8192" width="0" style="130" hidden="1"/>
    <col min="8193" max="8193" width="5.28515625" style="130" customWidth="1"/>
    <col min="8194" max="8195" width="15.85546875" style="130" customWidth="1"/>
    <col min="8196" max="8196" width="33.85546875" style="130" customWidth="1"/>
    <col min="8197" max="8197" width="32.5703125" style="130" customWidth="1"/>
    <col min="8198" max="8199" width="13.28515625" style="130" customWidth="1"/>
    <col min="8200" max="8203" width="7.140625" style="130" customWidth="1"/>
    <col min="8204" max="8204" width="19.140625" style="130" customWidth="1"/>
    <col min="8205" max="8205" width="11.85546875" style="130" customWidth="1"/>
    <col min="8206" max="8208" width="12" style="130" customWidth="1"/>
    <col min="8209" max="8209" width="14.85546875" style="130" customWidth="1"/>
    <col min="8210" max="8210" width="12" style="130" customWidth="1"/>
    <col min="8211" max="8222" width="7.140625" style="130" customWidth="1"/>
    <col min="8223" max="8223" width="11.42578125" style="130" customWidth="1"/>
    <col min="8224" max="8224" width="12" style="130" customWidth="1"/>
    <col min="8225" max="8225" width="5.140625" style="130" customWidth="1"/>
    <col min="8226" max="8448" width="0" style="130" hidden="1"/>
    <col min="8449" max="8449" width="5.28515625" style="130" customWidth="1"/>
    <col min="8450" max="8451" width="15.85546875" style="130" customWidth="1"/>
    <col min="8452" max="8452" width="33.85546875" style="130" customWidth="1"/>
    <col min="8453" max="8453" width="32.5703125" style="130" customWidth="1"/>
    <col min="8454" max="8455" width="13.28515625" style="130" customWidth="1"/>
    <col min="8456" max="8459" width="7.140625" style="130" customWidth="1"/>
    <col min="8460" max="8460" width="19.140625" style="130" customWidth="1"/>
    <col min="8461" max="8461" width="11.85546875" style="130" customWidth="1"/>
    <col min="8462" max="8464" width="12" style="130" customWidth="1"/>
    <col min="8465" max="8465" width="14.85546875" style="130" customWidth="1"/>
    <col min="8466" max="8466" width="12" style="130" customWidth="1"/>
    <col min="8467" max="8478" width="7.140625" style="130" customWidth="1"/>
    <col min="8479" max="8479" width="11.42578125" style="130" customWidth="1"/>
    <col min="8480" max="8480" width="12" style="130" customWidth="1"/>
    <col min="8481" max="8481" width="5.140625" style="130" customWidth="1"/>
    <col min="8482" max="8704" width="0" style="130" hidden="1"/>
    <col min="8705" max="8705" width="5.28515625" style="130" customWidth="1"/>
    <col min="8706" max="8707" width="15.85546875" style="130" customWidth="1"/>
    <col min="8708" max="8708" width="33.85546875" style="130" customWidth="1"/>
    <col min="8709" max="8709" width="32.5703125" style="130" customWidth="1"/>
    <col min="8710" max="8711" width="13.28515625" style="130" customWidth="1"/>
    <col min="8712" max="8715" width="7.140625" style="130" customWidth="1"/>
    <col min="8716" max="8716" width="19.140625" style="130" customWidth="1"/>
    <col min="8717" max="8717" width="11.85546875" style="130" customWidth="1"/>
    <col min="8718" max="8720" width="12" style="130" customWidth="1"/>
    <col min="8721" max="8721" width="14.85546875" style="130" customWidth="1"/>
    <col min="8722" max="8722" width="12" style="130" customWidth="1"/>
    <col min="8723" max="8734" width="7.140625" style="130" customWidth="1"/>
    <col min="8735" max="8735" width="11.42578125" style="130" customWidth="1"/>
    <col min="8736" max="8736" width="12" style="130" customWidth="1"/>
    <col min="8737" max="8737" width="5.140625" style="130" customWidth="1"/>
    <col min="8738" max="8960" width="0" style="130" hidden="1"/>
    <col min="8961" max="8961" width="5.28515625" style="130" customWidth="1"/>
    <col min="8962" max="8963" width="15.85546875" style="130" customWidth="1"/>
    <col min="8964" max="8964" width="33.85546875" style="130" customWidth="1"/>
    <col min="8965" max="8965" width="32.5703125" style="130" customWidth="1"/>
    <col min="8966" max="8967" width="13.28515625" style="130" customWidth="1"/>
    <col min="8968" max="8971" width="7.140625" style="130" customWidth="1"/>
    <col min="8972" max="8972" width="19.140625" style="130" customWidth="1"/>
    <col min="8973" max="8973" width="11.85546875" style="130" customWidth="1"/>
    <col min="8974" max="8976" width="12" style="130" customWidth="1"/>
    <col min="8977" max="8977" width="14.85546875" style="130" customWidth="1"/>
    <col min="8978" max="8978" width="12" style="130" customWidth="1"/>
    <col min="8979" max="8990" width="7.140625" style="130" customWidth="1"/>
    <col min="8991" max="8991" width="11.42578125" style="130" customWidth="1"/>
    <col min="8992" max="8992" width="12" style="130" customWidth="1"/>
    <col min="8993" max="8993" width="5.140625" style="130" customWidth="1"/>
    <col min="8994" max="9216" width="0" style="130" hidden="1"/>
    <col min="9217" max="9217" width="5.28515625" style="130" customWidth="1"/>
    <col min="9218" max="9219" width="15.85546875" style="130" customWidth="1"/>
    <col min="9220" max="9220" width="33.85546875" style="130" customWidth="1"/>
    <col min="9221" max="9221" width="32.5703125" style="130" customWidth="1"/>
    <col min="9222" max="9223" width="13.28515625" style="130" customWidth="1"/>
    <col min="9224" max="9227" width="7.140625" style="130" customWidth="1"/>
    <col min="9228" max="9228" width="19.140625" style="130" customWidth="1"/>
    <col min="9229" max="9229" width="11.85546875" style="130" customWidth="1"/>
    <col min="9230" max="9232" width="12" style="130" customWidth="1"/>
    <col min="9233" max="9233" width="14.85546875" style="130" customWidth="1"/>
    <col min="9234" max="9234" width="12" style="130" customWidth="1"/>
    <col min="9235" max="9246" width="7.140625" style="130" customWidth="1"/>
    <col min="9247" max="9247" width="11.42578125" style="130" customWidth="1"/>
    <col min="9248" max="9248" width="12" style="130" customWidth="1"/>
    <col min="9249" max="9249" width="5.140625" style="130" customWidth="1"/>
    <col min="9250" max="9472" width="0" style="130" hidden="1"/>
    <col min="9473" max="9473" width="5.28515625" style="130" customWidth="1"/>
    <col min="9474" max="9475" width="15.85546875" style="130" customWidth="1"/>
    <col min="9476" max="9476" width="33.85546875" style="130" customWidth="1"/>
    <col min="9477" max="9477" width="32.5703125" style="130" customWidth="1"/>
    <col min="9478" max="9479" width="13.28515625" style="130" customWidth="1"/>
    <col min="9480" max="9483" width="7.140625" style="130" customWidth="1"/>
    <col min="9484" max="9484" width="19.140625" style="130" customWidth="1"/>
    <col min="9485" max="9485" width="11.85546875" style="130" customWidth="1"/>
    <col min="9486" max="9488" width="12" style="130" customWidth="1"/>
    <col min="9489" max="9489" width="14.85546875" style="130" customWidth="1"/>
    <col min="9490" max="9490" width="12" style="130" customWidth="1"/>
    <col min="9491" max="9502" width="7.140625" style="130" customWidth="1"/>
    <col min="9503" max="9503" width="11.42578125" style="130" customWidth="1"/>
    <col min="9504" max="9504" width="12" style="130" customWidth="1"/>
    <col min="9505" max="9505" width="5.140625" style="130" customWidth="1"/>
    <col min="9506" max="9728" width="0" style="130" hidden="1"/>
    <col min="9729" max="9729" width="5.28515625" style="130" customWidth="1"/>
    <col min="9730" max="9731" width="15.85546875" style="130" customWidth="1"/>
    <col min="9732" max="9732" width="33.85546875" style="130" customWidth="1"/>
    <col min="9733" max="9733" width="32.5703125" style="130" customWidth="1"/>
    <col min="9734" max="9735" width="13.28515625" style="130" customWidth="1"/>
    <col min="9736" max="9739" width="7.140625" style="130" customWidth="1"/>
    <col min="9740" max="9740" width="19.140625" style="130" customWidth="1"/>
    <col min="9741" max="9741" width="11.85546875" style="130" customWidth="1"/>
    <col min="9742" max="9744" width="12" style="130" customWidth="1"/>
    <col min="9745" max="9745" width="14.85546875" style="130" customWidth="1"/>
    <col min="9746" max="9746" width="12" style="130" customWidth="1"/>
    <col min="9747" max="9758" width="7.140625" style="130" customWidth="1"/>
    <col min="9759" max="9759" width="11.42578125" style="130" customWidth="1"/>
    <col min="9760" max="9760" width="12" style="130" customWidth="1"/>
    <col min="9761" max="9761" width="5.140625" style="130" customWidth="1"/>
    <col min="9762" max="9984" width="0" style="130" hidden="1"/>
    <col min="9985" max="9985" width="5.28515625" style="130" customWidth="1"/>
    <col min="9986" max="9987" width="15.85546875" style="130" customWidth="1"/>
    <col min="9988" max="9988" width="33.85546875" style="130" customWidth="1"/>
    <col min="9989" max="9989" width="32.5703125" style="130" customWidth="1"/>
    <col min="9990" max="9991" width="13.28515625" style="130" customWidth="1"/>
    <col min="9992" max="9995" width="7.140625" style="130" customWidth="1"/>
    <col min="9996" max="9996" width="19.140625" style="130" customWidth="1"/>
    <col min="9997" max="9997" width="11.85546875" style="130" customWidth="1"/>
    <col min="9998" max="10000" width="12" style="130" customWidth="1"/>
    <col min="10001" max="10001" width="14.85546875" style="130" customWidth="1"/>
    <col min="10002" max="10002" width="12" style="130" customWidth="1"/>
    <col min="10003" max="10014" width="7.140625" style="130" customWidth="1"/>
    <col min="10015" max="10015" width="11.42578125" style="130" customWidth="1"/>
    <col min="10016" max="10016" width="12" style="130" customWidth="1"/>
    <col min="10017" max="10017" width="5.140625" style="130" customWidth="1"/>
    <col min="10018" max="10240" width="0" style="130" hidden="1"/>
    <col min="10241" max="10241" width="5.28515625" style="130" customWidth="1"/>
    <col min="10242" max="10243" width="15.85546875" style="130" customWidth="1"/>
    <col min="10244" max="10244" width="33.85546875" style="130" customWidth="1"/>
    <col min="10245" max="10245" width="32.5703125" style="130" customWidth="1"/>
    <col min="10246" max="10247" width="13.28515625" style="130" customWidth="1"/>
    <col min="10248" max="10251" width="7.140625" style="130" customWidth="1"/>
    <col min="10252" max="10252" width="19.140625" style="130" customWidth="1"/>
    <col min="10253" max="10253" width="11.85546875" style="130" customWidth="1"/>
    <col min="10254" max="10256" width="12" style="130" customWidth="1"/>
    <col min="10257" max="10257" width="14.85546875" style="130" customWidth="1"/>
    <col min="10258" max="10258" width="12" style="130" customWidth="1"/>
    <col min="10259" max="10270" width="7.140625" style="130" customWidth="1"/>
    <col min="10271" max="10271" width="11.42578125" style="130" customWidth="1"/>
    <col min="10272" max="10272" width="12" style="130" customWidth="1"/>
    <col min="10273" max="10273" width="5.140625" style="130" customWidth="1"/>
    <col min="10274" max="10496" width="0" style="130" hidden="1"/>
    <col min="10497" max="10497" width="5.28515625" style="130" customWidth="1"/>
    <col min="10498" max="10499" width="15.85546875" style="130" customWidth="1"/>
    <col min="10500" max="10500" width="33.85546875" style="130" customWidth="1"/>
    <col min="10501" max="10501" width="32.5703125" style="130" customWidth="1"/>
    <col min="10502" max="10503" width="13.28515625" style="130" customWidth="1"/>
    <col min="10504" max="10507" width="7.140625" style="130" customWidth="1"/>
    <col min="10508" max="10508" width="19.140625" style="130" customWidth="1"/>
    <col min="10509" max="10509" width="11.85546875" style="130" customWidth="1"/>
    <col min="10510" max="10512" width="12" style="130" customWidth="1"/>
    <col min="10513" max="10513" width="14.85546875" style="130" customWidth="1"/>
    <col min="10514" max="10514" width="12" style="130" customWidth="1"/>
    <col min="10515" max="10526" width="7.140625" style="130" customWidth="1"/>
    <col min="10527" max="10527" width="11.42578125" style="130" customWidth="1"/>
    <col min="10528" max="10528" width="12" style="130" customWidth="1"/>
    <col min="10529" max="10529" width="5.140625" style="130" customWidth="1"/>
    <col min="10530" max="10752" width="0" style="130" hidden="1"/>
    <col min="10753" max="10753" width="5.28515625" style="130" customWidth="1"/>
    <col min="10754" max="10755" width="15.85546875" style="130" customWidth="1"/>
    <col min="10756" max="10756" width="33.85546875" style="130" customWidth="1"/>
    <col min="10757" max="10757" width="32.5703125" style="130" customWidth="1"/>
    <col min="10758" max="10759" width="13.28515625" style="130" customWidth="1"/>
    <col min="10760" max="10763" width="7.140625" style="130" customWidth="1"/>
    <col min="10764" max="10764" width="19.140625" style="130" customWidth="1"/>
    <col min="10765" max="10765" width="11.85546875" style="130" customWidth="1"/>
    <col min="10766" max="10768" width="12" style="130" customWidth="1"/>
    <col min="10769" max="10769" width="14.85546875" style="130" customWidth="1"/>
    <col min="10770" max="10770" width="12" style="130" customWidth="1"/>
    <col min="10771" max="10782" width="7.140625" style="130" customWidth="1"/>
    <col min="10783" max="10783" width="11.42578125" style="130" customWidth="1"/>
    <col min="10784" max="10784" width="12" style="130" customWidth="1"/>
    <col min="10785" max="10785" width="5.140625" style="130" customWidth="1"/>
    <col min="10786" max="11008" width="0" style="130" hidden="1"/>
    <col min="11009" max="11009" width="5.28515625" style="130" customWidth="1"/>
    <col min="11010" max="11011" width="15.85546875" style="130" customWidth="1"/>
    <col min="11012" max="11012" width="33.85546875" style="130" customWidth="1"/>
    <col min="11013" max="11013" width="32.5703125" style="130" customWidth="1"/>
    <col min="11014" max="11015" width="13.28515625" style="130" customWidth="1"/>
    <col min="11016" max="11019" width="7.140625" style="130" customWidth="1"/>
    <col min="11020" max="11020" width="19.140625" style="130" customWidth="1"/>
    <col min="11021" max="11021" width="11.85546875" style="130" customWidth="1"/>
    <col min="11022" max="11024" width="12" style="130" customWidth="1"/>
    <col min="11025" max="11025" width="14.85546875" style="130" customWidth="1"/>
    <col min="11026" max="11026" width="12" style="130" customWidth="1"/>
    <col min="11027" max="11038" width="7.140625" style="130" customWidth="1"/>
    <col min="11039" max="11039" width="11.42578125" style="130" customWidth="1"/>
    <col min="11040" max="11040" width="12" style="130" customWidth="1"/>
    <col min="11041" max="11041" width="5.140625" style="130" customWidth="1"/>
    <col min="11042" max="11264" width="0" style="130" hidden="1"/>
    <col min="11265" max="11265" width="5.28515625" style="130" customWidth="1"/>
    <col min="11266" max="11267" width="15.85546875" style="130" customWidth="1"/>
    <col min="11268" max="11268" width="33.85546875" style="130" customWidth="1"/>
    <col min="11269" max="11269" width="32.5703125" style="130" customWidth="1"/>
    <col min="11270" max="11271" width="13.28515625" style="130" customWidth="1"/>
    <col min="11272" max="11275" width="7.140625" style="130" customWidth="1"/>
    <col min="11276" max="11276" width="19.140625" style="130" customWidth="1"/>
    <col min="11277" max="11277" width="11.85546875" style="130" customWidth="1"/>
    <col min="11278" max="11280" width="12" style="130" customWidth="1"/>
    <col min="11281" max="11281" width="14.85546875" style="130" customWidth="1"/>
    <col min="11282" max="11282" width="12" style="130" customWidth="1"/>
    <col min="11283" max="11294" width="7.140625" style="130" customWidth="1"/>
    <col min="11295" max="11295" width="11.42578125" style="130" customWidth="1"/>
    <col min="11296" max="11296" width="12" style="130" customWidth="1"/>
    <col min="11297" max="11297" width="5.140625" style="130" customWidth="1"/>
    <col min="11298" max="11520" width="0" style="130" hidden="1"/>
    <col min="11521" max="11521" width="5.28515625" style="130" customWidth="1"/>
    <col min="11522" max="11523" width="15.85546875" style="130" customWidth="1"/>
    <col min="11524" max="11524" width="33.85546875" style="130" customWidth="1"/>
    <col min="11525" max="11525" width="32.5703125" style="130" customWidth="1"/>
    <col min="11526" max="11527" width="13.28515625" style="130" customWidth="1"/>
    <col min="11528" max="11531" width="7.140625" style="130" customWidth="1"/>
    <col min="11532" max="11532" width="19.140625" style="130" customWidth="1"/>
    <col min="11533" max="11533" width="11.85546875" style="130" customWidth="1"/>
    <col min="11534" max="11536" width="12" style="130" customWidth="1"/>
    <col min="11537" max="11537" width="14.85546875" style="130" customWidth="1"/>
    <col min="11538" max="11538" width="12" style="130" customWidth="1"/>
    <col min="11539" max="11550" width="7.140625" style="130" customWidth="1"/>
    <col min="11551" max="11551" width="11.42578125" style="130" customWidth="1"/>
    <col min="11552" max="11552" width="12" style="130" customWidth="1"/>
    <col min="11553" max="11553" width="5.140625" style="130" customWidth="1"/>
    <col min="11554" max="11776" width="0" style="130" hidden="1"/>
    <col min="11777" max="11777" width="5.28515625" style="130" customWidth="1"/>
    <col min="11778" max="11779" width="15.85546875" style="130" customWidth="1"/>
    <col min="11780" max="11780" width="33.85546875" style="130" customWidth="1"/>
    <col min="11781" max="11781" width="32.5703125" style="130" customWidth="1"/>
    <col min="11782" max="11783" width="13.28515625" style="130" customWidth="1"/>
    <col min="11784" max="11787" width="7.140625" style="130" customWidth="1"/>
    <col min="11788" max="11788" width="19.140625" style="130" customWidth="1"/>
    <col min="11789" max="11789" width="11.85546875" style="130" customWidth="1"/>
    <col min="11790" max="11792" width="12" style="130" customWidth="1"/>
    <col min="11793" max="11793" width="14.85546875" style="130" customWidth="1"/>
    <col min="11794" max="11794" width="12" style="130" customWidth="1"/>
    <col min="11795" max="11806" width="7.140625" style="130" customWidth="1"/>
    <col min="11807" max="11807" width="11.42578125" style="130" customWidth="1"/>
    <col min="11808" max="11808" width="12" style="130" customWidth="1"/>
    <col min="11809" max="11809" width="5.140625" style="130" customWidth="1"/>
    <col min="11810" max="12032" width="0" style="130" hidden="1"/>
    <col min="12033" max="12033" width="5.28515625" style="130" customWidth="1"/>
    <col min="12034" max="12035" width="15.85546875" style="130" customWidth="1"/>
    <col min="12036" max="12036" width="33.85546875" style="130" customWidth="1"/>
    <col min="12037" max="12037" width="32.5703125" style="130" customWidth="1"/>
    <col min="12038" max="12039" width="13.28515625" style="130" customWidth="1"/>
    <col min="12040" max="12043" width="7.140625" style="130" customWidth="1"/>
    <col min="12044" max="12044" width="19.140625" style="130" customWidth="1"/>
    <col min="12045" max="12045" width="11.85546875" style="130" customWidth="1"/>
    <col min="12046" max="12048" width="12" style="130" customWidth="1"/>
    <col min="12049" max="12049" width="14.85546875" style="130" customWidth="1"/>
    <col min="12050" max="12050" width="12" style="130" customWidth="1"/>
    <col min="12051" max="12062" width="7.140625" style="130" customWidth="1"/>
    <col min="12063" max="12063" width="11.42578125" style="130" customWidth="1"/>
    <col min="12064" max="12064" width="12" style="130" customWidth="1"/>
    <col min="12065" max="12065" width="5.140625" style="130" customWidth="1"/>
    <col min="12066" max="12288" width="0" style="130" hidden="1"/>
    <col min="12289" max="12289" width="5.28515625" style="130" customWidth="1"/>
    <col min="12290" max="12291" width="15.85546875" style="130" customWidth="1"/>
    <col min="12292" max="12292" width="33.85546875" style="130" customWidth="1"/>
    <col min="12293" max="12293" width="32.5703125" style="130" customWidth="1"/>
    <col min="12294" max="12295" width="13.28515625" style="130" customWidth="1"/>
    <col min="12296" max="12299" width="7.140625" style="130" customWidth="1"/>
    <col min="12300" max="12300" width="19.140625" style="130" customWidth="1"/>
    <col min="12301" max="12301" width="11.85546875" style="130" customWidth="1"/>
    <col min="12302" max="12304" width="12" style="130" customWidth="1"/>
    <col min="12305" max="12305" width="14.85546875" style="130" customWidth="1"/>
    <col min="12306" max="12306" width="12" style="130" customWidth="1"/>
    <col min="12307" max="12318" width="7.140625" style="130" customWidth="1"/>
    <col min="12319" max="12319" width="11.42578125" style="130" customWidth="1"/>
    <col min="12320" max="12320" width="12" style="130" customWidth="1"/>
    <col min="12321" max="12321" width="5.140625" style="130" customWidth="1"/>
    <col min="12322" max="12544" width="0" style="130" hidden="1"/>
    <col min="12545" max="12545" width="5.28515625" style="130" customWidth="1"/>
    <col min="12546" max="12547" width="15.85546875" style="130" customWidth="1"/>
    <col min="12548" max="12548" width="33.85546875" style="130" customWidth="1"/>
    <col min="12549" max="12549" width="32.5703125" style="130" customWidth="1"/>
    <col min="12550" max="12551" width="13.28515625" style="130" customWidth="1"/>
    <col min="12552" max="12555" width="7.140625" style="130" customWidth="1"/>
    <col min="12556" max="12556" width="19.140625" style="130" customWidth="1"/>
    <col min="12557" max="12557" width="11.85546875" style="130" customWidth="1"/>
    <col min="12558" max="12560" width="12" style="130" customWidth="1"/>
    <col min="12561" max="12561" width="14.85546875" style="130" customWidth="1"/>
    <col min="12562" max="12562" width="12" style="130" customWidth="1"/>
    <col min="12563" max="12574" width="7.140625" style="130" customWidth="1"/>
    <col min="12575" max="12575" width="11.42578125" style="130" customWidth="1"/>
    <col min="12576" max="12576" width="12" style="130" customWidth="1"/>
    <col min="12577" max="12577" width="5.140625" style="130" customWidth="1"/>
    <col min="12578" max="12800" width="0" style="130" hidden="1"/>
    <col min="12801" max="12801" width="5.28515625" style="130" customWidth="1"/>
    <col min="12802" max="12803" width="15.85546875" style="130" customWidth="1"/>
    <col min="12804" max="12804" width="33.85546875" style="130" customWidth="1"/>
    <col min="12805" max="12805" width="32.5703125" style="130" customWidth="1"/>
    <col min="12806" max="12807" width="13.28515625" style="130" customWidth="1"/>
    <col min="12808" max="12811" width="7.140625" style="130" customWidth="1"/>
    <col min="12812" max="12812" width="19.140625" style="130" customWidth="1"/>
    <col min="12813" max="12813" width="11.85546875" style="130" customWidth="1"/>
    <col min="12814" max="12816" width="12" style="130" customWidth="1"/>
    <col min="12817" max="12817" width="14.85546875" style="130" customWidth="1"/>
    <col min="12818" max="12818" width="12" style="130" customWidth="1"/>
    <col min="12819" max="12830" width="7.140625" style="130" customWidth="1"/>
    <col min="12831" max="12831" width="11.42578125" style="130" customWidth="1"/>
    <col min="12832" max="12832" width="12" style="130" customWidth="1"/>
    <col min="12833" max="12833" width="5.140625" style="130" customWidth="1"/>
    <col min="12834" max="13056" width="0" style="130" hidden="1"/>
    <col min="13057" max="13057" width="5.28515625" style="130" customWidth="1"/>
    <col min="13058" max="13059" width="15.85546875" style="130" customWidth="1"/>
    <col min="13060" max="13060" width="33.85546875" style="130" customWidth="1"/>
    <col min="13061" max="13061" width="32.5703125" style="130" customWidth="1"/>
    <col min="13062" max="13063" width="13.28515625" style="130" customWidth="1"/>
    <col min="13064" max="13067" width="7.140625" style="130" customWidth="1"/>
    <col min="13068" max="13068" width="19.140625" style="130" customWidth="1"/>
    <col min="13069" max="13069" width="11.85546875" style="130" customWidth="1"/>
    <col min="13070" max="13072" width="12" style="130" customWidth="1"/>
    <col min="13073" max="13073" width="14.85546875" style="130" customWidth="1"/>
    <col min="13074" max="13074" width="12" style="130" customWidth="1"/>
    <col min="13075" max="13086" width="7.140625" style="130" customWidth="1"/>
    <col min="13087" max="13087" width="11.42578125" style="130" customWidth="1"/>
    <col min="13088" max="13088" width="12" style="130" customWidth="1"/>
    <col min="13089" max="13089" width="5.140625" style="130" customWidth="1"/>
    <col min="13090" max="13312" width="0" style="130" hidden="1"/>
    <col min="13313" max="13313" width="5.28515625" style="130" customWidth="1"/>
    <col min="13314" max="13315" width="15.85546875" style="130" customWidth="1"/>
    <col min="13316" max="13316" width="33.85546875" style="130" customWidth="1"/>
    <col min="13317" max="13317" width="32.5703125" style="130" customWidth="1"/>
    <col min="13318" max="13319" width="13.28515625" style="130" customWidth="1"/>
    <col min="13320" max="13323" width="7.140625" style="130" customWidth="1"/>
    <col min="13324" max="13324" width="19.140625" style="130" customWidth="1"/>
    <col min="13325" max="13325" width="11.85546875" style="130" customWidth="1"/>
    <col min="13326" max="13328" width="12" style="130" customWidth="1"/>
    <col min="13329" max="13329" width="14.85546875" style="130" customWidth="1"/>
    <col min="13330" max="13330" width="12" style="130" customWidth="1"/>
    <col min="13331" max="13342" width="7.140625" style="130" customWidth="1"/>
    <col min="13343" max="13343" width="11.42578125" style="130" customWidth="1"/>
    <col min="13344" max="13344" width="12" style="130" customWidth="1"/>
    <col min="13345" max="13345" width="5.140625" style="130" customWidth="1"/>
    <col min="13346" max="13568" width="0" style="130" hidden="1"/>
    <col min="13569" max="13569" width="5.28515625" style="130" customWidth="1"/>
    <col min="13570" max="13571" width="15.85546875" style="130" customWidth="1"/>
    <col min="13572" max="13572" width="33.85546875" style="130" customWidth="1"/>
    <col min="13573" max="13573" width="32.5703125" style="130" customWidth="1"/>
    <col min="13574" max="13575" width="13.28515625" style="130" customWidth="1"/>
    <col min="13576" max="13579" width="7.140625" style="130" customWidth="1"/>
    <col min="13580" max="13580" width="19.140625" style="130" customWidth="1"/>
    <col min="13581" max="13581" width="11.85546875" style="130" customWidth="1"/>
    <col min="13582" max="13584" width="12" style="130" customWidth="1"/>
    <col min="13585" max="13585" width="14.85546875" style="130" customWidth="1"/>
    <col min="13586" max="13586" width="12" style="130" customWidth="1"/>
    <col min="13587" max="13598" width="7.140625" style="130" customWidth="1"/>
    <col min="13599" max="13599" width="11.42578125" style="130" customWidth="1"/>
    <col min="13600" max="13600" width="12" style="130" customWidth="1"/>
    <col min="13601" max="13601" width="5.140625" style="130" customWidth="1"/>
    <col min="13602" max="13824" width="0" style="130" hidden="1"/>
    <col min="13825" max="13825" width="5.28515625" style="130" customWidth="1"/>
    <col min="13826" max="13827" width="15.85546875" style="130" customWidth="1"/>
    <col min="13828" max="13828" width="33.85546875" style="130" customWidth="1"/>
    <col min="13829" max="13829" width="32.5703125" style="130" customWidth="1"/>
    <col min="13830" max="13831" width="13.28515625" style="130" customWidth="1"/>
    <col min="13832" max="13835" width="7.140625" style="130" customWidth="1"/>
    <col min="13836" max="13836" width="19.140625" style="130" customWidth="1"/>
    <col min="13837" max="13837" width="11.85546875" style="130" customWidth="1"/>
    <col min="13838" max="13840" width="12" style="130" customWidth="1"/>
    <col min="13841" max="13841" width="14.85546875" style="130" customWidth="1"/>
    <col min="13842" max="13842" width="12" style="130" customWidth="1"/>
    <col min="13843" max="13854" width="7.140625" style="130" customWidth="1"/>
    <col min="13855" max="13855" width="11.42578125" style="130" customWidth="1"/>
    <col min="13856" max="13856" width="12" style="130" customWidth="1"/>
    <col min="13857" max="13857" width="5.140625" style="130" customWidth="1"/>
    <col min="13858" max="14080" width="0" style="130" hidden="1"/>
    <col min="14081" max="14081" width="5.28515625" style="130" customWidth="1"/>
    <col min="14082" max="14083" width="15.85546875" style="130" customWidth="1"/>
    <col min="14084" max="14084" width="33.85546875" style="130" customWidth="1"/>
    <col min="14085" max="14085" width="32.5703125" style="130" customWidth="1"/>
    <col min="14086" max="14087" width="13.28515625" style="130" customWidth="1"/>
    <col min="14088" max="14091" width="7.140625" style="130" customWidth="1"/>
    <col min="14092" max="14092" width="19.140625" style="130" customWidth="1"/>
    <col min="14093" max="14093" width="11.85546875" style="130" customWidth="1"/>
    <col min="14094" max="14096" width="12" style="130" customWidth="1"/>
    <col min="14097" max="14097" width="14.85546875" style="130" customWidth="1"/>
    <col min="14098" max="14098" width="12" style="130" customWidth="1"/>
    <col min="14099" max="14110" width="7.140625" style="130" customWidth="1"/>
    <col min="14111" max="14111" width="11.42578125" style="130" customWidth="1"/>
    <col min="14112" max="14112" width="12" style="130" customWidth="1"/>
    <col min="14113" max="14113" width="5.140625" style="130" customWidth="1"/>
    <col min="14114" max="14336" width="0" style="130" hidden="1"/>
    <col min="14337" max="14337" width="5.28515625" style="130" customWidth="1"/>
    <col min="14338" max="14339" width="15.85546875" style="130" customWidth="1"/>
    <col min="14340" max="14340" width="33.85546875" style="130" customWidth="1"/>
    <col min="14341" max="14341" width="32.5703125" style="130" customWidth="1"/>
    <col min="14342" max="14343" width="13.28515625" style="130" customWidth="1"/>
    <col min="14344" max="14347" width="7.140625" style="130" customWidth="1"/>
    <col min="14348" max="14348" width="19.140625" style="130" customWidth="1"/>
    <col min="14349" max="14349" width="11.85546875" style="130" customWidth="1"/>
    <col min="14350" max="14352" width="12" style="130" customWidth="1"/>
    <col min="14353" max="14353" width="14.85546875" style="130" customWidth="1"/>
    <col min="14354" max="14354" width="12" style="130" customWidth="1"/>
    <col min="14355" max="14366" width="7.140625" style="130" customWidth="1"/>
    <col min="14367" max="14367" width="11.42578125" style="130" customWidth="1"/>
    <col min="14368" max="14368" width="12" style="130" customWidth="1"/>
    <col min="14369" max="14369" width="5.140625" style="130" customWidth="1"/>
    <col min="14370" max="14592" width="0" style="130" hidden="1"/>
    <col min="14593" max="14593" width="5.28515625" style="130" customWidth="1"/>
    <col min="14594" max="14595" width="15.85546875" style="130" customWidth="1"/>
    <col min="14596" max="14596" width="33.85546875" style="130" customWidth="1"/>
    <col min="14597" max="14597" width="32.5703125" style="130" customWidth="1"/>
    <col min="14598" max="14599" width="13.28515625" style="130" customWidth="1"/>
    <col min="14600" max="14603" width="7.140625" style="130" customWidth="1"/>
    <col min="14604" max="14604" width="19.140625" style="130" customWidth="1"/>
    <col min="14605" max="14605" width="11.85546875" style="130" customWidth="1"/>
    <col min="14606" max="14608" width="12" style="130" customWidth="1"/>
    <col min="14609" max="14609" width="14.85546875" style="130" customWidth="1"/>
    <col min="14610" max="14610" width="12" style="130" customWidth="1"/>
    <col min="14611" max="14622" width="7.140625" style="130" customWidth="1"/>
    <col min="14623" max="14623" width="11.42578125" style="130" customWidth="1"/>
    <col min="14624" max="14624" width="12" style="130" customWidth="1"/>
    <col min="14625" max="14625" width="5.140625" style="130" customWidth="1"/>
    <col min="14626" max="14848" width="0" style="130" hidden="1"/>
    <col min="14849" max="14849" width="5.28515625" style="130" customWidth="1"/>
    <col min="14850" max="14851" width="15.85546875" style="130" customWidth="1"/>
    <col min="14852" max="14852" width="33.85546875" style="130" customWidth="1"/>
    <col min="14853" max="14853" width="32.5703125" style="130" customWidth="1"/>
    <col min="14854" max="14855" width="13.28515625" style="130" customWidth="1"/>
    <col min="14856" max="14859" width="7.140625" style="130" customWidth="1"/>
    <col min="14860" max="14860" width="19.140625" style="130" customWidth="1"/>
    <col min="14861" max="14861" width="11.85546875" style="130" customWidth="1"/>
    <col min="14862" max="14864" width="12" style="130" customWidth="1"/>
    <col min="14865" max="14865" width="14.85546875" style="130" customWidth="1"/>
    <col min="14866" max="14866" width="12" style="130" customWidth="1"/>
    <col min="14867" max="14878" width="7.140625" style="130" customWidth="1"/>
    <col min="14879" max="14879" width="11.42578125" style="130" customWidth="1"/>
    <col min="14880" max="14880" width="12" style="130" customWidth="1"/>
    <col min="14881" max="14881" width="5.140625" style="130" customWidth="1"/>
    <col min="14882" max="15104" width="0" style="130" hidden="1"/>
    <col min="15105" max="15105" width="5.28515625" style="130" customWidth="1"/>
    <col min="15106" max="15107" width="15.85546875" style="130" customWidth="1"/>
    <col min="15108" max="15108" width="33.85546875" style="130" customWidth="1"/>
    <col min="15109" max="15109" width="32.5703125" style="130" customWidth="1"/>
    <col min="15110" max="15111" width="13.28515625" style="130" customWidth="1"/>
    <col min="15112" max="15115" width="7.140625" style="130" customWidth="1"/>
    <col min="15116" max="15116" width="19.140625" style="130" customWidth="1"/>
    <col min="15117" max="15117" width="11.85546875" style="130" customWidth="1"/>
    <col min="15118" max="15120" width="12" style="130" customWidth="1"/>
    <col min="15121" max="15121" width="14.85546875" style="130" customWidth="1"/>
    <col min="15122" max="15122" width="12" style="130" customWidth="1"/>
    <col min="15123" max="15134" width="7.140625" style="130" customWidth="1"/>
    <col min="15135" max="15135" width="11.42578125" style="130" customWidth="1"/>
    <col min="15136" max="15136" width="12" style="130" customWidth="1"/>
    <col min="15137" max="15137" width="5.140625" style="130" customWidth="1"/>
    <col min="15138" max="15360" width="0" style="130" hidden="1"/>
    <col min="15361" max="15361" width="5.28515625" style="130" customWidth="1"/>
    <col min="15362" max="15363" width="15.85546875" style="130" customWidth="1"/>
    <col min="15364" max="15364" width="33.85546875" style="130" customWidth="1"/>
    <col min="15365" max="15365" width="32.5703125" style="130" customWidth="1"/>
    <col min="15366" max="15367" width="13.28515625" style="130" customWidth="1"/>
    <col min="15368" max="15371" width="7.140625" style="130" customWidth="1"/>
    <col min="15372" max="15372" width="19.140625" style="130" customWidth="1"/>
    <col min="15373" max="15373" width="11.85546875" style="130" customWidth="1"/>
    <col min="15374" max="15376" width="12" style="130" customWidth="1"/>
    <col min="15377" max="15377" width="14.85546875" style="130" customWidth="1"/>
    <col min="15378" max="15378" width="12" style="130" customWidth="1"/>
    <col min="15379" max="15390" width="7.140625" style="130" customWidth="1"/>
    <col min="15391" max="15391" width="11.42578125" style="130" customWidth="1"/>
    <col min="15392" max="15392" width="12" style="130" customWidth="1"/>
    <col min="15393" max="15393" width="5.140625" style="130" customWidth="1"/>
    <col min="15394" max="15616" width="0" style="130" hidden="1"/>
    <col min="15617" max="15617" width="5.28515625" style="130" customWidth="1"/>
    <col min="15618" max="15619" width="15.85546875" style="130" customWidth="1"/>
    <col min="15620" max="15620" width="33.85546875" style="130" customWidth="1"/>
    <col min="15621" max="15621" width="32.5703125" style="130" customWidth="1"/>
    <col min="15622" max="15623" width="13.28515625" style="130" customWidth="1"/>
    <col min="15624" max="15627" width="7.140625" style="130" customWidth="1"/>
    <col min="15628" max="15628" width="19.140625" style="130" customWidth="1"/>
    <col min="15629" max="15629" width="11.85546875" style="130" customWidth="1"/>
    <col min="15630" max="15632" width="12" style="130" customWidth="1"/>
    <col min="15633" max="15633" width="14.85546875" style="130" customWidth="1"/>
    <col min="15634" max="15634" width="12" style="130" customWidth="1"/>
    <col min="15635" max="15646" width="7.140625" style="130" customWidth="1"/>
    <col min="15647" max="15647" width="11.42578125" style="130" customWidth="1"/>
    <col min="15648" max="15648" width="12" style="130" customWidth="1"/>
    <col min="15649" max="15649" width="5.140625" style="130" customWidth="1"/>
    <col min="15650" max="15872" width="0" style="130" hidden="1"/>
    <col min="15873" max="15873" width="5.28515625" style="130" customWidth="1"/>
    <col min="15874" max="15875" width="15.85546875" style="130" customWidth="1"/>
    <col min="15876" max="15876" width="33.85546875" style="130" customWidth="1"/>
    <col min="15877" max="15877" width="32.5703125" style="130" customWidth="1"/>
    <col min="15878" max="15879" width="13.28515625" style="130" customWidth="1"/>
    <col min="15880" max="15883" width="7.140625" style="130" customWidth="1"/>
    <col min="15884" max="15884" width="19.140625" style="130" customWidth="1"/>
    <col min="15885" max="15885" width="11.85546875" style="130" customWidth="1"/>
    <col min="15886" max="15888" width="12" style="130" customWidth="1"/>
    <col min="15889" max="15889" width="14.85546875" style="130" customWidth="1"/>
    <col min="15890" max="15890" width="12" style="130" customWidth="1"/>
    <col min="15891" max="15902" width="7.140625" style="130" customWidth="1"/>
    <col min="15903" max="15903" width="11.42578125" style="130" customWidth="1"/>
    <col min="15904" max="15904" width="12" style="130" customWidth="1"/>
    <col min="15905" max="15905" width="5.140625" style="130" customWidth="1"/>
    <col min="15906" max="16128" width="0" style="130" hidden="1"/>
    <col min="16129" max="16129" width="5.28515625" style="130" customWidth="1"/>
    <col min="16130" max="16131" width="15.85546875" style="130" customWidth="1"/>
    <col min="16132" max="16132" width="33.85546875" style="130" customWidth="1"/>
    <col min="16133" max="16133" width="32.5703125" style="130" customWidth="1"/>
    <col min="16134" max="16135" width="13.28515625" style="130" customWidth="1"/>
    <col min="16136" max="16139" width="7.140625" style="130" customWidth="1"/>
    <col min="16140" max="16140" width="19.140625" style="130" customWidth="1"/>
    <col min="16141" max="16141" width="11.85546875" style="130" customWidth="1"/>
    <col min="16142" max="16144" width="12" style="130" customWidth="1"/>
    <col min="16145" max="16145" width="14.85546875" style="130" customWidth="1"/>
    <col min="16146" max="16146" width="12" style="130" customWidth="1"/>
    <col min="16147" max="16158" width="7.140625" style="130" customWidth="1"/>
    <col min="16159" max="16159" width="11.42578125" style="130" customWidth="1"/>
    <col min="16160" max="16160" width="12" style="130" customWidth="1"/>
    <col min="16161" max="16161" width="5.140625" style="130" customWidth="1"/>
    <col min="16162" max="16384" width="0" style="130" hidden="1"/>
  </cols>
  <sheetData>
    <row r="1" spans="2:38" ht="18" customHeight="1" thickBot="1" x14ac:dyDescent="0.25"/>
    <row r="2" spans="2:38" s="138" customFormat="1" ht="35.25" customHeight="1" x14ac:dyDescent="0.2">
      <c r="B2" s="132"/>
      <c r="C2" s="133"/>
      <c r="D2" s="133"/>
      <c r="E2" s="133"/>
      <c r="F2" s="133"/>
      <c r="G2" s="133"/>
      <c r="H2" s="133"/>
      <c r="I2" s="133"/>
      <c r="J2" s="134"/>
      <c r="K2" s="135" t="s">
        <v>0</v>
      </c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6" t="s">
        <v>1</v>
      </c>
      <c r="AF2" s="137"/>
    </row>
    <row r="3" spans="2:38" s="138" customFormat="1" ht="33" customHeight="1" thickBot="1" x14ac:dyDescent="0.25">
      <c r="B3" s="139"/>
      <c r="C3" s="140"/>
      <c r="D3" s="140"/>
      <c r="E3" s="140"/>
      <c r="F3" s="140"/>
      <c r="G3" s="140"/>
      <c r="H3" s="140"/>
      <c r="I3" s="140"/>
      <c r="J3" s="141"/>
      <c r="K3" s="142" t="s">
        <v>91</v>
      </c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3"/>
      <c r="AF3" s="144"/>
    </row>
    <row r="4" spans="2:38" s="162" customFormat="1" ht="36.75" customHeight="1" thickTop="1" x14ac:dyDescent="0.25">
      <c r="B4" s="145" t="s">
        <v>3</v>
      </c>
      <c r="C4" s="146" t="s">
        <v>4</v>
      </c>
      <c r="D4" s="146" t="s">
        <v>5</v>
      </c>
      <c r="E4" s="146" t="s">
        <v>6</v>
      </c>
      <c r="F4" s="147" t="s">
        <v>7</v>
      </c>
      <c r="G4" s="146" t="s">
        <v>8</v>
      </c>
      <c r="H4" s="148" t="s">
        <v>9</v>
      </c>
      <c r="I4" s="149"/>
      <c r="J4" s="149"/>
      <c r="K4" s="149"/>
      <c r="L4" s="150"/>
      <c r="M4" s="151" t="s">
        <v>10</v>
      </c>
      <c r="N4" s="152"/>
      <c r="O4" s="153" t="s">
        <v>11</v>
      </c>
      <c r="P4" s="154"/>
      <c r="Q4" s="155" t="s">
        <v>12</v>
      </c>
      <c r="R4" s="156"/>
      <c r="S4" s="151" t="s">
        <v>13</v>
      </c>
      <c r="T4" s="152"/>
      <c r="U4" s="151" t="s">
        <v>14</v>
      </c>
      <c r="V4" s="152"/>
      <c r="W4" s="151" t="s">
        <v>15</v>
      </c>
      <c r="X4" s="152"/>
      <c r="Y4" s="157" t="s">
        <v>16</v>
      </c>
      <c r="Z4" s="158"/>
      <c r="AA4" s="159" t="s">
        <v>17</v>
      </c>
      <c r="AB4" s="160"/>
      <c r="AC4" s="159" t="s">
        <v>18</v>
      </c>
      <c r="AD4" s="160"/>
      <c r="AE4" s="159" t="s">
        <v>19</v>
      </c>
      <c r="AF4" s="161"/>
    </row>
    <row r="5" spans="2:38" s="138" customFormat="1" ht="15" customHeight="1" x14ac:dyDescent="0.2">
      <c r="B5" s="163"/>
      <c r="C5" s="164"/>
      <c r="D5" s="164"/>
      <c r="E5" s="164"/>
      <c r="F5" s="165"/>
      <c r="G5" s="164"/>
      <c r="H5" s="166" t="s">
        <v>20</v>
      </c>
      <c r="I5" s="167"/>
      <c r="J5" s="168" t="s">
        <v>21</v>
      </c>
      <c r="K5" s="169"/>
      <c r="L5" s="170" t="s">
        <v>22</v>
      </c>
      <c r="M5" s="171"/>
      <c r="N5" s="172"/>
      <c r="O5" s="173"/>
      <c r="P5" s="174"/>
      <c r="Q5" s="175"/>
      <c r="R5" s="176"/>
      <c r="S5" s="171"/>
      <c r="T5" s="172"/>
      <c r="U5" s="171"/>
      <c r="V5" s="172"/>
      <c r="W5" s="171"/>
      <c r="X5" s="172"/>
      <c r="Y5" s="177"/>
      <c r="Z5" s="178"/>
      <c r="AA5" s="171"/>
      <c r="AB5" s="172"/>
      <c r="AC5" s="171"/>
      <c r="AD5" s="172"/>
      <c r="AE5" s="171"/>
      <c r="AF5" s="179"/>
    </row>
    <row r="6" spans="2:38" s="138" customFormat="1" ht="16.5" customHeight="1" x14ac:dyDescent="0.2">
      <c r="B6" s="180"/>
      <c r="C6" s="181"/>
      <c r="D6" s="181"/>
      <c r="E6" s="181"/>
      <c r="F6" s="182"/>
      <c r="G6" s="181"/>
      <c r="H6" s="183" t="s">
        <v>23</v>
      </c>
      <c r="I6" s="184" t="s">
        <v>24</v>
      </c>
      <c r="J6" s="185" t="s">
        <v>23</v>
      </c>
      <c r="K6" s="186" t="s">
        <v>24</v>
      </c>
      <c r="L6" s="187"/>
      <c r="M6" s="188" t="s">
        <v>23</v>
      </c>
      <c r="N6" s="189" t="s">
        <v>24</v>
      </c>
      <c r="O6" s="190" t="s">
        <v>23</v>
      </c>
      <c r="P6" s="191" t="s">
        <v>24</v>
      </c>
      <c r="Q6" s="188" t="s">
        <v>23</v>
      </c>
      <c r="R6" s="189" t="s">
        <v>24</v>
      </c>
      <c r="S6" s="183" t="s">
        <v>23</v>
      </c>
      <c r="T6" s="192" t="s">
        <v>24</v>
      </c>
      <c r="U6" s="193" t="s">
        <v>23</v>
      </c>
      <c r="V6" s="192" t="s">
        <v>24</v>
      </c>
      <c r="W6" s="193" t="s">
        <v>25</v>
      </c>
      <c r="X6" s="192" t="s">
        <v>24</v>
      </c>
      <c r="Y6" s="185" t="s">
        <v>25</v>
      </c>
      <c r="Z6" s="194" t="s">
        <v>24</v>
      </c>
      <c r="AA6" s="193" t="s">
        <v>23</v>
      </c>
      <c r="AB6" s="192" t="s">
        <v>24</v>
      </c>
      <c r="AC6" s="188" t="s">
        <v>23</v>
      </c>
      <c r="AD6" s="189" t="s">
        <v>24</v>
      </c>
      <c r="AE6" s="193" t="s">
        <v>23</v>
      </c>
      <c r="AF6" s="195" t="s">
        <v>24</v>
      </c>
    </row>
    <row r="7" spans="2:38" s="206" customFormat="1" ht="15.95" customHeight="1" x14ac:dyDescent="0.2">
      <c r="B7" s="196">
        <v>7</v>
      </c>
      <c r="C7" s="196">
        <v>13</v>
      </c>
      <c r="D7" s="196" t="s">
        <v>69</v>
      </c>
      <c r="E7" s="197" t="s">
        <v>27</v>
      </c>
      <c r="F7" s="198" t="s">
        <v>28</v>
      </c>
      <c r="G7" s="199">
        <f>WORKDAY(J7,-1,[2]Hoja1!$A$1:$A$72)</f>
        <v>46267</v>
      </c>
      <c r="H7" s="200">
        <v>46237</v>
      </c>
      <c r="I7" s="201">
        <v>46237</v>
      </c>
      <c r="J7" s="202">
        <v>46268</v>
      </c>
      <c r="K7" s="201">
        <f t="shared" ref="K7:K48" si="0">+J7</f>
        <v>46268</v>
      </c>
      <c r="L7" s="203">
        <f t="shared" ref="L7:L48" si="1">(J7-H7)</f>
        <v>31</v>
      </c>
      <c r="M7" s="200">
        <f>WORKDAY(J7,1,[2]Hoja1!$A$1:$A$72)</f>
        <v>46269</v>
      </c>
      <c r="N7" s="204">
        <f t="shared" ref="N7:N48" si="2">+M7</f>
        <v>46269</v>
      </c>
      <c r="O7" s="205">
        <v>46270</v>
      </c>
      <c r="P7" s="201">
        <f t="shared" ref="P7:P48" si="3">+O7</f>
        <v>46270</v>
      </c>
      <c r="Q7" s="200">
        <f t="shared" ref="Q7:Q14" si="4">+O7</f>
        <v>46270</v>
      </c>
      <c r="R7" s="201">
        <f>+Q7</f>
        <v>46270</v>
      </c>
      <c r="S7" s="200">
        <f>WORKDAY(Q7,1,[2]Hoja1!$A$1:$A$72)</f>
        <v>46272</v>
      </c>
      <c r="T7" s="204">
        <f>+S7</f>
        <v>46272</v>
      </c>
      <c r="U7" s="200">
        <f>+S7</f>
        <v>46272</v>
      </c>
      <c r="V7" s="204">
        <f>+U7</f>
        <v>46272</v>
      </c>
      <c r="W7" s="200">
        <f>+U7</f>
        <v>46272</v>
      </c>
      <c r="X7" s="204">
        <f>+W7</f>
        <v>46272</v>
      </c>
      <c r="Y7" s="205">
        <v>46274</v>
      </c>
      <c r="Z7" s="204">
        <f t="shared" ref="Z7:Z31" si="5">+Y7</f>
        <v>46274</v>
      </c>
      <c r="AA7" s="200">
        <f>WORKDAY(Y7,8,[2]Hoja1!$A$1:$A$72)</f>
        <v>46286</v>
      </c>
      <c r="AB7" s="204">
        <f t="shared" ref="AB7:AB29" si="6">AA7</f>
        <v>46286</v>
      </c>
      <c r="AC7" s="200">
        <f>WORKDAY(AA7,1,[2]Hoja1!$A$1:$A$72)</f>
        <v>46287</v>
      </c>
      <c r="AD7" s="201">
        <f t="shared" ref="AD7:AD29" si="7">+AC7</f>
        <v>46287</v>
      </c>
      <c r="AE7" s="200">
        <f t="shared" ref="AE7:AE29" si="8">+AC7</f>
        <v>46287</v>
      </c>
      <c r="AF7" s="201">
        <f t="shared" ref="AF7:AF29" si="9">+AE7</f>
        <v>46287</v>
      </c>
      <c r="AL7" s="206" t="s">
        <v>28</v>
      </c>
    </row>
    <row r="8" spans="2:38" s="206" customFormat="1" ht="15.95" customHeight="1" x14ac:dyDescent="0.2">
      <c r="B8" s="196">
        <v>16</v>
      </c>
      <c r="C8" s="196">
        <v>11</v>
      </c>
      <c r="D8" s="196" t="s">
        <v>81</v>
      </c>
      <c r="E8" s="197" t="s">
        <v>33</v>
      </c>
      <c r="F8" s="207" t="s">
        <v>28</v>
      </c>
      <c r="G8" s="199">
        <f>WORKDAY(J8,-1,[2]Hoja1!$A$1:$A$72)</f>
        <v>46268</v>
      </c>
      <c r="H8" s="208">
        <v>46238</v>
      </c>
      <c r="I8" s="201">
        <v>46238</v>
      </c>
      <c r="J8" s="202">
        <v>46269</v>
      </c>
      <c r="K8" s="201">
        <f t="shared" si="0"/>
        <v>46269</v>
      </c>
      <c r="L8" s="203">
        <f t="shared" si="1"/>
        <v>31</v>
      </c>
      <c r="M8" s="200">
        <f>WORKDAY(J8,1,[2]Hoja1!$A$1:$A$72)</f>
        <v>46272</v>
      </c>
      <c r="N8" s="204">
        <f t="shared" si="2"/>
        <v>46272</v>
      </c>
      <c r="O8" s="205">
        <v>46273</v>
      </c>
      <c r="P8" s="201">
        <f t="shared" si="3"/>
        <v>46273</v>
      </c>
      <c r="Q8" s="200">
        <f t="shared" si="4"/>
        <v>46273</v>
      </c>
      <c r="R8" s="201">
        <f t="shared" ref="R8:R29" si="10">+Q8</f>
        <v>46273</v>
      </c>
      <c r="S8" s="200">
        <f>WORKDAY(Q8,1,[2]Hoja1!$A$1:$A$72)</f>
        <v>46274</v>
      </c>
      <c r="T8" s="204">
        <f t="shared" ref="T8:T29" si="11">+S8</f>
        <v>46274</v>
      </c>
      <c r="U8" s="200">
        <f t="shared" ref="U8:U29" si="12">+S8</f>
        <v>46274</v>
      </c>
      <c r="V8" s="204">
        <f t="shared" ref="V8:V29" si="13">+U8</f>
        <v>46274</v>
      </c>
      <c r="W8" s="200">
        <f t="shared" ref="W8:W29" si="14">+U8</f>
        <v>46274</v>
      </c>
      <c r="X8" s="204">
        <f t="shared" ref="X8:X29" si="15">+W8</f>
        <v>46274</v>
      </c>
      <c r="Y8" s="205">
        <v>46276</v>
      </c>
      <c r="Z8" s="204">
        <f t="shared" si="5"/>
        <v>46276</v>
      </c>
      <c r="AA8" s="200">
        <f>WORKDAY(Y8,8,[2]Hoja1!$A$1:$A$72)</f>
        <v>46288</v>
      </c>
      <c r="AB8" s="204">
        <f>AA8</f>
        <v>46288</v>
      </c>
      <c r="AC8" s="200">
        <f>WORKDAY(AA8,1,[2]Hoja1!$A$1:$A$72)</f>
        <v>46289</v>
      </c>
      <c r="AD8" s="201">
        <f t="shared" si="7"/>
        <v>46289</v>
      </c>
      <c r="AE8" s="200">
        <f t="shared" si="8"/>
        <v>46289</v>
      </c>
      <c r="AF8" s="201">
        <f t="shared" si="9"/>
        <v>46289</v>
      </c>
      <c r="AL8" s="206" t="s">
        <v>34</v>
      </c>
    </row>
    <row r="9" spans="2:38" s="206" customFormat="1" ht="15.95" customHeight="1" x14ac:dyDescent="0.2">
      <c r="B9" s="196">
        <v>5</v>
      </c>
      <c r="C9" s="196">
        <v>13</v>
      </c>
      <c r="D9" s="196" t="s">
        <v>82</v>
      </c>
      <c r="E9" s="197" t="s">
        <v>27</v>
      </c>
      <c r="F9" s="207" t="s">
        <v>28</v>
      </c>
      <c r="G9" s="199">
        <f>WORKDAY(J9,-1,[2]Hoja1!$A$1:$A$72)</f>
        <v>46269</v>
      </c>
      <c r="H9" s="197">
        <v>46239</v>
      </c>
      <c r="I9" s="201">
        <v>46239</v>
      </c>
      <c r="J9" s="209">
        <v>46270</v>
      </c>
      <c r="K9" s="201">
        <f t="shared" si="0"/>
        <v>46270</v>
      </c>
      <c r="L9" s="203">
        <f t="shared" si="1"/>
        <v>31</v>
      </c>
      <c r="M9" s="200">
        <f>WORKDAY(J9,1,[2]Hoja1!$A$1:$A$72)</f>
        <v>46272</v>
      </c>
      <c r="N9" s="204">
        <f t="shared" si="2"/>
        <v>46272</v>
      </c>
      <c r="O9" s="205">
        <v>46273</v>
      </c>
      <c r="P9" s="201">
        <f t="shared" si="3"/>
        <v>46273</v>
      </c>
      <c r="Q9" s="200">
        <f t="shared" si="4"/>
        <v>46273</v>
      </c>
      <c r="R9" s="201">
        <f t="shared" si="10"/>
        <v>46273</v>
      </c>
      <c r="S9" s="200">
        <f>WORKDAY(Q9,1,[2]Hoja1!$A$1:$A$72)</f>
        <v>46274</v>
      </c>
      <c r="T9" s="204">
        <f t="shared" si="11"/>
        <v>46274</v>
      </c>
      <c r="U9" s="200">
        <f t="shared" si="12"/>
        <v>46274</v>
      </c>
      <c r="V9" s="204">
        <f t="shared" si="13"/>
        <v>46274</v>
      </c>
      <c r="W9" s="200">
        <f t="shared" si="14"/>
        <v>46274</v>
      </c>
      <c r="X9" s="204">
        <f t="shared" si="15"/>
        <v>46274</v>
      </c>
      <c r="Y9" s="205">
        <v>46276</v>
      </c>
      <c r="Z9" s="204">
        <f t="shared" si="5"/>
        <v>46276</v>
      </c>
      <c r="AA9" s="200">
        <f>WORKDAY(Y9,9,[2]Hoja1!$A$1:$A$72)</f>
        <v>46289</v>
      </c>
      <c r="AB9" s="204">
        <f t="shared" si="6"/>
        <v>46289</v>
      </c>
      <c r="AC9" s="200">
        <f>WORKDAY(AA9,1,[2]Hoja1!$A$1:$A$72)</f>
        <v>46290</v>
      </c>
      <c r="AD9" s="201">
        <f t="shared" si="7"/>
        <v>46290</v>
      </c>
      <c r="AE9" s="200">
        <f t="shared" si="8"/>
        <v>46290</v>
      </c>
      <c r="AF9" s="201">
        <f t="shared" si="9"/>
        <v>46290</v>
      </c>
    </row>
    <row r="10" spans="2:38" s="206" customFormat="1" ht="30.75" customHeight="1" x14ac:dyDescent="0.2">
      <c r="B10" s="196">
        <v>15</v>
      </c>
      <c r="C10" s="196">
        <v>13</v>
      </c>
      <c r="D10" s="196" t="s">
        <v>70</v>
      </c>
      <c r="E10" s="210" t="s">
        <v>35</v>
      </c>
      <c r="F10" s="207" t="s">
        <v>28</v>
      </c>
      <c r="G10" s="199">
        <f>WORKDAY(J10,-1,[2]Hoja1!$A$1:$A$72)</f>
        <v>46269</v>
      </c>
      <c r="H10" s="200">
        <v>46242</v>
      </c>
      <c r="I10" s="211">
        <v>46242</v>
      </c>
      <c r="J10" s="209">
        <v>46272</v>
      </c>
      <c r="K10" s="201">
        <f t="shared" si="0"/>
        <v>46272</v>
      </c>
      <c r="L10" s="203">
        <f t="shared" si="1"/>
        <v>30</v>
      </c>
      <c r="M10" s="200">
        <f>WORKDAY(J10,1,[2]Hoja1!$A$1:$A$72)</f>
        <v>46273</v>
      </c>
      <c r="N10" s="204">
        <f t="shared" si="2"/>
        <v>46273</v>
      </c>
      <c r="O10" s="205">
        <v>46274</v>
      </c>
      <c r="P10" s="201">
        <f t="shared" si="3"/>
        <v>46274</v>
      </c>
      <c r="Q10" s="200">
        <f t="shared" si="4"/>
        <v>46274</v>
      </c>
      <c r="R10" s="201">
        <f t="shared" si="10"/>
        <v>46274</v>
      </c>
      <c r="S10" s="200">
        <f>WORKDAY(Q10,1,[2]Hoja1!$A$1:$A$72)</f>
        <v>46275</v>
      </c>
      <c r="T10" s="204">
        <f t="shared" si="11"/>
        <v>46275</v>
      </c>
      <c r="U10" s="200">
        <f t="shared" si="12"/>
        <v>46275</v>
      </c>
      <c r="V10" s="204">
        <f t="shared" si="13"/>
        <v>46275</v>
      </c>
      <c r="W10" s="200">
        <f t="shared" si="14"/>
        <v>46275</v>
      </c>
      <c r="X10" s="204">
        <f t="shared" si="15"/>
        <v>46275</v>
      </c>
      <c r="Y10" s="205">
        <v>46277</v>
      </c>
      <c r="Z10" s="204">
        <f t="shared" si="5"/>
        <v>46277</v>
      </c>
      <c r="AA10" s="200">
        <f>WORKDAY(Y10,11,[2]Hoja1!$A$1:$A$72)-2</f>
        <v>46291</v>
      </c>
      <c r="AB10" s="204">
        <f>AA10</f>
        <v>46291</v>
      </c>
      <c r="AC10" s="200">
        <f>WORKDAY(AA10,1,[2]Hoja1!$A$1:$A$72)</f>
        <v>46293</v>
      </c>
      <c r="AD10" s="201">
        <f t="shared" si="7"/>
        <v>46293</v>
      </c>
      <c r="AE10" s="200">
        <f t="shared" si="8"/>
        <v>46293</v>
      </c>
      <c r="AF10" s="201">
        <f t="shared" si="9"/>
        <v>46293</v>
      </c>
    </row>
    <row r="11" spans="2:38" s="206" customFormat="1" ht="15.95" customHeight="1" x14ac:dyDescent="0.2">
      <c r="B11" s="196">
        <v>62</v>
      </c>
      <c r="C11" s="196">
        <v>13</v>
      </c>
      <c r="D11" s="196" t="s">
        <v>69</v>
      </c>
      <c r="E11" s="197" t="s">
        <v>71</v>
      </c>
      <c r="F11" s="198" t="s">
        <v>31</v>
      </c>
      <c r="G11" s="199">
        <f>WORKDAY(J11,-1,[2]Hoja1!$A$1:$A$72)</f>
        <v>46272</v>
      </c>
      <c r="H11" s="208">
        <v>46211</v>
      </c>
      <c r="I11" s="201">
        <v>46211</v>
      </c>
      <c r="J11" s="202">
        <v>46273</v>
      </c>
      <c r="K11" s="201">
        <f t="shared" si="0"/>
        <v>46273</v>
      </c>
      <c r="L11" s="203">
        <f>(J11-H11)</f>
        <v>62</v>
      </c>
      <c r="M11" s="200">
        <f>WORKDAY(J11,1,[2]Hoja1!$A$1:$A$72)</f>
        <v>46274</v>
      </c>
      <c r="N11" s="204">
        <f>+M11</f>
        <v>46274</v>
      </c>
      <c r="O11" s="205">
        <v>46275</v>
      </c>
      <c r="P11" s="201">
        <f>+O11</f>
        <v>46275</v>
      </c>
      <c r="Q11" s="200">
        <f>+O11</f>
        <v>46275</v>
      </c>
      <c r="R11" s="201">
        <f>+Q11</f>
        <v>46275</v>
      </c>
      <c r="S11" s="200">
        <f>WORKDAY(Q11,1,[2]Hoja1!$A$1:$A$72)</f>
        <v>46276</v>
      </c>
      <c r="T11" s="204">
        <f>+S11</f>
        <v>46276</v>
      </c>
      <c r="U11" s="200">
        <f>+S11</f>
        <v>46276</v>
      </c>
      <c r="V11" s="204">
        <f>+U11</f>
        <v>46276</v>
      </c>
      <c r="W11" s="200">
        <f>+U11</f>
        <v>46276</v>
      </c>
      <c r="X11" s="204">
        <f>+W11</f>
        <v>46276</v>
      </c>
      <c r="Y11" s="205">
        <v>46280</v>
      </c>
      <c r="Z11" s="204">
        <f>+Y11</f>
        <v>46280</v>
      </c>
      <c r="AA11" s="200">
        <f>WORKDAY(Y11,26,[2]Hoja1!$A$1:$A$72)</f>
        <v>46317</v>
      </c>
      <c r="AB11" s="204">
        <f>AA11</f>
        <v>46317</v>
      </c>
      <c r="AC11" s="200">
        <f>WORKDAY(AA11,1,[2]Hoja1!$A$1:$A$72)</f>
        <v>46318</v>
      </c>
      <c r="AD11" s="201">
        <f>+AC11</f>
        <v>46318</v>
      </c>
      <c r="AE11" s="200">
        <f>+AC11</f>
        <v>46318</v>
      </c>
      <c r="AF11" s="201">
        <f>+AE11</f>
        <v>46318</v>
      </c>
      <c r="AL11" s="206" t="s">
        <v>31</v>
      </c>
    </row>
    <row r="12" spans="2:38" s="206" customFormat="1" ht="15.95" customHeight="1" x14ac:dyDescent="0.2">
      <c r="B12" s="196">
        <v>21</v>
      </c>
      <c r="C12" s="196">
        <v>12</v>
      </c>
      <c r="D12" s="196" t="s">
        <v>81</v>
      </c>
      <c r="E12" s="197" t="s">
        <v>36</v>
      </c>
      <c r="F12" s="207" t="s">
        <v>28</v>
      </c>
      <c r="G12" s="199">
        <f>WORKDAY(J12,-1,[2]Hoja1!$A$1:$A$72)</f>
        <v>46273</v>
      </c>
      <c r="H12" s="200">
        <v>46244</v>
      </c>
      <c r="I12" s="211">
        <v>46244</v>
      </c>
      <c r="J12" s="209">
        <v>46274</v>
      </c>
      <c r="K12" s="201">
        <f t="shared" si="0"/>
        <v>46274</v>
      </c>
      <c r="L12" s="203">
        <f t="shared" si="1"/>
        <v>30</v>
      </c>
      <c r="M12" s="200">
        <f>WORKDAY(J12,1,[2]Hoja1!$A$1:$A$72)</f>
        <v>46275</v>
      </c>
      <c r="N12" s="204">
        <f t="shared" si="2"/>
        <v>46275</v>
      </c>
      <c r="O12" s="205">
        <v>46276</v>
      </c>
      <c r="P12" s="201">
        <f t="shared" si="3"/>
        <v>46276</v>
      </c>
      <c r="Q12" s="200">
        <f t="shared" si="4"/>
        <v>46276</v>
      </c>
      <c r="R12" s="201">
        <f t="shared" si="10"/>
        <v>46276</v>
      </c>
      <c r="S12" s="200">
        <f>WORKDAY(Q12,1,[2]Hoja1!$A$1:$A$72)</f>
        <v>46279</v>
      </c>
      <c r="T12" s="204">
        <f t="shared" si="11"/>
        <v>46279</v>
      </c>
      <c r="U12" s="200">
        <f t="shared" si="12"/>
        <v>46279</v>
      </c>
      <c r="V12" s="204">
        <f t="shared" si="13"/>
        <v>46279</v>
      </c>
      <c r="W12" s="200">
        <f t="shared" si="14"/>
        <v>46279</v>
      </c>
      <c r="X12" s="204">
        <f t="shared" si="15"/>
        <v>46279</v>
      </c>
      <c r="Y12" s="205">
        <v>46281</v>
      </c>
      <c r="Z12" s="204">
        <f t="shared" si="5"/>
        <v>46281</v>
      </c>
      <c r="AA12" s="200">
        <f>WORKDAY(Y12,7,[2]Hoja1!$A$1:$A$72)</f>
        <v>46290</v>
      </c>
      <c r="AB12" s="204">
        <f t="shared" si="6"/>
        <v>46290</v>
      </c>
      <c r="AC12" s="200">
        <f>WORKDAY(AA12,1,[2]Hoja1!$A$1:$A$72)</f>
        <v>46293</v>
      </c>
      <c r="AD12" s="201">
        <f t="shared" si="7"/>
        <v>46293</v>
      </c>
      <c r="AE12" s="200">
        <f t="shared" si="8"/>
        <v>46293</v>
      </c>
      <c r="AF12" s="201">
        <f t="shared" si="9"/>
        <v>46293</v>
      </c>
    </row>
    <row r="13" spans="2:38" s="206" customFormat="1" ht="15.95" customHeight="1" x14ac:dyDescent="0.2">
      <c r="B13" s="196">
        <v>22</v>
      </c>
      <c r="C13" s="196">
        <v>12</v>
      </c>
      <c r="D13" s="196" t="s">
        <v>70</v>
      </c>
      <c r="E13" s="197" t="s">
        <v>37</v>
      </c>
      <c r="F13" s="207" t="s">
        <v>28</v>
      </c>
      <c r="G13" s="199">
        <f>WORKDAY(J13,-1,[2]Hoja1!$A$1:$A$72)</f>
        <v>46273</v>
      </c>
      <c r="H13" s="200">
        <v>46244</v>
      </c>
      <c r="I13" s="211">
        <v>46244</v>
      </c>
      <c r="J13" s="209">
        <v>46274</v>
      </c>
      <c r="K13" s="201">
        <f t="shared" si="0"/>
        <v>46274</v>
      </c>
      <c r="L13" s="203">
        <f t="shared" si="1"/>
        <v>30</v>
      </c>
      <c r="M13" s="200">
        <f>WORKDAY(J13,1,[2]Hoja1!$A$1:$A$72)</f>
        <v>46275</v>
      </c>
      <c r="N13" s="204">
        <f t="shared" si="2"/>
        <v>46275</v>
      </c>
      <c r="O13" s="205">
        <v>46276</v>
      </c>
      <c r="P13" s="201">
        <f t="shared" si="3"/>
        <v>46276</v>
      </c>
      <c r="Q13" s="200">
        <f t="shared" si="4"/>
        <v>46276</v>
      </c>
      <c r="R13" s="201">
        <f t="shared" si="10"/>
        <v>46276</v>
      </c>
      <c r="S13" s="200">
        <f>WORKDAY(Q13,1,[2]Hoja1!$A$1:$A$72)</f>
        <v>46279</v>
      </c>
      <c r="T13" s="204">
        <f t="shared" si="11"/>
        <v>46279</v>
      </c>
      <c r="U13" s="200">
        <f t="shared" si="12"/>
        <v>46279</v>
      </c>
      <c r="V13" s="204">
        <f t="shared" si="13"/>
        <v>46279</v>
      </c>
      <c r="W13" s="200">
        <f t="shared" si="14"/>
        <v>46279</v>
      </c>
      <c r="X13" s="204">
        <f t="shared" si="15"/>
        <v>46279</v>
      </c>
      <c r="Y13" s="205">
        <v>46281</v>
      </c>
      <c r="Z13" s="204">
        <f t="shared" si="5"/>
        <v>46281</v>
      </c>
      <c r="AA13" s="200">
        <f>WORKDAY(Y13,7,[2]Hoja1!$A$1:$A$72)+1</f>
        <v>46291</v>
      </c>
      <c r="AB13" s="204">
        <f t="shared" si="6"/>
        <v>46291</v>
      </c>
      <c r="AC13" s="200">
        <f>WORKDAY(AA13,1,[2]Hoja1!$A$1:$A$72)</f>
        <v>46293</v>
      </c>
      <c r="AD13" s="201">
        <f t="shared" si="7"/>
        <v>46293</v>
      </c>
      <c r="AE13" s="200">
        <f t="shared" si="8"/>
        <v>46293</v>
      </c>
      <c r="AF13" s="201">
        <f t="shared" si="9"/>
        <v>46293</v>
      </c>
    </row>
    <row r="14" spans="2:38" s="206" customFormat="1" ht="15.95" customHeight="1" x14ac:dyDescent="0.2">
      <c r="B14" s="196">
        <v>39</v>
      </c>
      <c r="C14" s="196">
        <v>12</v>
      </c>
      <c r="D14" s="196" t="s">
        <v>82</v>
      </c>
      <c r="E14" s="197" t="s">
        <v>38</v>
      </c>
      <c r="F14" s="207" t="s">
        <v>28</v>
      </c>
      <c r="G14" s="199">
        <f>WORKDAY(J14,-1,[2]Hoja1!$A$1:$A$72)</f>
        <v>46273</v>
      </c>
      <c r="H14" s="200">
        <v>46244</v>
      </c>
      <c r="I14" s="211">
        <v>46244</v>
      </c>
      <c r="J14" s="209">
        <v>46274</v>
      </c>
      <c r="K14" s="201">
        <f t="shared" si="0"/>
        <v>46274</v>
      </c>
      <c r="L14" s="203">
        <f t="shared" si="1"/>
        <v>30</v>
      </c>
      <c r="M14" s="200">
        <f>WORKDAY(J14,1,[2]Hoja1!$A$1:$A$72)</f>
        <v>46275</v>
      </c>
      <c r="N14" s="204">
        <f t="shared" si="2"/>
        <v>46275</v>
      </c>
      <c r="O14" s="205">
        <v>46276</v>
      </c>
      <c r="P14" s="201">
        <f t="shared" si="3"/>
        <v>46276</v>
      </c>
      <c r="Q14" s="200">
        <f t="shared" si="4"/>
        <v>46276</v>
      </c>
      <c r="R14" s="201">
        <f t="shared" si="10"/>
        <v>46276</v>
      </c>
      <c r="S14" s="200">
        <f>WORKDAY(Q14,1,[2]Hoja1!$A$1:$A$72)</f>
        <v>46279</v>
      </c>
      <c r="T14" s="204">
        <f t="shared" si="11"/>
        <v>46279</v>
      </c>
      <c r="U14" s="200">
        <f t="shared" si="12"/>
        <v>46279</v>
      </c>
      <c r="V14" s="204">
        <f t="shared" si="13"/>
        <v>46279</v>
      </c>
      <c r="W14" s="200">
        <f t="shared" si="14"/>
        <v>46279</v>
      </c>
      <c r="X14" s="204">
        <f t="shared" si="15"/>
        <v>46279</v>
      </c>
      <c r="Y14" s="205">
        <v>46281</v>
      </c>
      <c r="Z14" s="204">
        <f t="shared" si="5"/>
        <v>46281</v>
      </c>
      <c r="AA14" s="200">
        <f>WORKDAY(Y14,7,[2]Hoja1!$A$1:$A$72)+1</f>
        <v>46291</v>
      </c>
      <c r="AB14" s="204">
        <f t="shared" si="6"/>
        <v>46291</v>
      </c>
      <c r="AC14" s="200">
        <f>WORKDAY(AA14,1,[2]Hoja1!$A$1:$A$72)</f>
        <v>46293</v>
      </c>
      <c r="AD14" s="201">
        <f t="shared" si="7"/>
        <v>46293</v>
      </c>
      <c r="AE14" s="200">
        <f t="shared" si="8"/>
        <v>46293</v>
      </c>
      <c r="AF14" s="201">
        <f t="shared" si="9"/>
        <v>46293</v>
      </c>
    </row>
    <row r="15" spans="2:38" s="206" customFormat="1" ht="15.95" customHeight="1" x14ac:dyDescent="0.2">
      <c r="B15" s="196">
        <v>25</v>
      </c>
      <c r="C15" s="196">
        <v>11</v>
      </c>
      <c r="D15" s="196" t="s">
        <v>81</v>
      </c>
      <c r="E15" s="197" t="s">
        <v>39</v>
      </c>
      <c r="F15" s="207" t="s">
        <v>28</v>
      </c>
      <c r="G15" s="199">
        <f>WORKDAY(J15,-1,[2]Hoja1!$A$1:$A$72)</f>
        <v>46274</v>
      </c>
      <c r="H15" s="200">
        <v>46245</v>
      </c>
      <c r="I15" s="211">
        <v>46245</v>
      </c>
      <c r="J15" s="209">
        <v>46275</v>
      </c>
      <c r="K15" s="201">
        <f t="shared" si="0"/>
        <v>46275</v>
      </c>
      <c r="L15" s="203">
        <f t="shared" si="1"/>
        <v>30</v>
      </c>
      <c r="M15" s="200">
        <f>WORKDAY(J15,2,[2]Hoja1!$A$1:$A$72)</f>
        <v>46279</v>
      </c>
      <c r="N15" s="204">
        <f t="shared" si="2"/>
        <v>46279</v>
      </c>
      <c r="O15" s="205">
        <v>46281</v>
      </c>
      <c r="P15" s="201">
        <f t="shared" si="3"/>
        <v>46281</v>
      </c>
      <c r="Q15" s="200">
        <f>WORKDAY(O15,1,[2]Hoja1!$A$1:$A$72)</f>
        <v>46282</v>
      </c>
      <c r="R15" s="201">
        <f t="shared" si="10"/>
        <v>46282</v>
      </c>
      <c r="S15" s="200">
        <f>WORKDAY(Q15,1,[2]Hoja1!$A$1:$A$72)</f>
        <v>46283</v>
      </c>
      <c r="T15" s="204">
        <f t="shared" si="11"/>
        <v>46283</v>
      </c>
      <c r="U15" s="200">
        <f t="shared" si="12"/>
        <v>46283</v>
      </c>
      <c r="V15" s="204">
        <f t="shared" si="13"/>
        <v>46283</v>
      </c>
      <c r="W15" s="200">
        <f t="shared" si="14"/>
        <v>46283</v>
      </c>
      <c r="X15" s="204">
        <f t="shared" si="15"/>
        <v>46283</v>
      </c>
      <c r="Y15" s="205">
        <v>46291</v>
      </c>
      <c r="Z15" s="204">
        <f t="shared" si="5"/>
        <v>46291</v>
      </c>
      <c r="AA15" s="200">
        <f>WORKDAY(Y15,6,[2]Hoja1!$A$1:$A$72)</f>
        <v>46300</v>
      </c>
      <c r="AB15" s="204">
        <f>AA15</f>
        <v>46300</v>
      </c>
      <c r="AC15" s="200">
        <f>WORKDAY(AA15,1,[2]Hoja1!$A$1:$A$72)</f>
        <v>46301</v>
      </c>
      <c r="AD15" s="201">
        <f t="shared" si="7"/>
        <v>46301</v>
      </c>
      <c r="AE15" s="200">
        <f t="shared" si="8"/>
        <v>46301</v>
      </c>
      <c r="AF15" s="201">
        <f t="shared" si="9"/>
        <v>46301</v>
      </c>
    </row>
    <row r="16" spans="2:38" s="206" customFormat="1" ht="15" customHeight="1" x14ac:dyDescent="0.2">
      <c r="B16" s="196">
        <v>10</v>
      </c>
      <c r="C16" s="196">
        <v>12</v>
      </c>
      <c r="D16" s="196" t="s">
        <v>69</v>
      </c>
      <c r="E16" s="197" t="s">
        <v>41</v>
      </c>
      <c r="F16" s="207" t="s">
        <v>28</v>
      </c>
      <c r="G16" s="199">
        <f>WORKDAY(J16,-1,[2]Hoja1!$A$1:$A$72)</f>
        <v>46275</v>
      </c>
      <c r="H16" s="208">
        <v>46246</v>
      </c>
      <c r="I16" s="201">
        <v>46246</v>
      </c>
      <c r="J16" s="202">
        <v>46276</v>
      </c>
      <c r="K16" s="201">
        <f t="shared" si="0"/>
        <v>46276</v>
      </c>
      <c r="L16" s="203">
        <f t="shared" si="1"/>
        <v>30</v>
      </c>
      <c r="M16" s="200">
        <f>WORKDAY(J16,1,[2]Hoja1!$A$1:$A$72)</f>
        <v>46279</v>
      </c>
      <c r="N16" s="204">
        <f t="shared" si="2"/>
        <v>46279</v>
      </c>
      <c r="O16" s="205">
        <v>46280</v>
      </c>
      <c r="P16" s="201">
        <f t="shared" si="3"/>
        <v>46280</v>
      </c>
      <c r="Q16" s="200">
        <f>+O16</f>
        <v>46280</v>
      </c>
      <c r="R16" s="201">
        <f t="shared" si="10"/>
        <v>46280</v>
      </c>
      <c r="S16" s="200">
        <f>WORKDAY(Q16,1,[2]Hoja1!$A$1:$A$72)</f>
        <v>46281</v>
      </c>
      <c r="T16" s="204">
        <f t="shared" si="11"/>
        <v>46281</v>
      </c>
      <c r="U16" s="200">
        <f t="shared" si="12"/>
        <v>46281</v>
      </c>
      <c r="V16" s="204">
        <f t="shared" si="13"/>
        <v>46281</v>
      </c>
      <c r="W16" s="200">
        <f t="shared" si="14"/>
        <v>46281</v>
      </c>
      <c r="X16" s="204">
        <f t="shared" si="15"/>
        <v>46281</v>
      </c>
      <c r="Y16" s="205">
        <v>46283</v>
      </c>
      <c r="Z16" s="204">
        <f t="shared" si="5"/>
        <v>46283</v>
      </c>
      <c r="AA16" s="200">
        <f>WORKDAY(Y16,9,[2]Hoja1!$A$1:$A$72)</f>
        <v>46296</v>
      </c>
      <c r="AB16" s="204">
        <f t="shared" si="6"/>
        <v>46296</v>
      </c>
      <c r="AC16" s="200">
        <f>WORKDAY(AA16,1,[2]Hoja1!$A$1:$A$72)</f>
        <v>46297</v>
      </c>
      <c r="AD16" s="201">
        <f t="shared" si="7"/>
        <v>46297</v>
      </c>
      <c r="AE16" s="200">
        <f t="shared" si="8"/>
        <v>46297</v>
      </c>
      <c r="AF16" s="201">
        <f t="shared" si="9"/>
        <v>46297</v>
      </c>
    </row>
    <row r="17" spans="2:32" s="206" customFormat="1" ht="15.95" customHeight="1" x14ac:dyDescent="0.2">
      <c r="B17" s="196">
        <v>29</v>
      </c>
      <c r="C17" s="196">
        <v>11</v>
      </c>
      <c r="D17" s="196" t="s">
        <v>69</v>
      </c>
      <c r="E17" s="197" t="s">
        <v>42</v>
      </c>
      <c r="F17" s="207" t="s">
        <v>28</v>
      </c>
      <c r="G17" s="199">
        <f>WORKDAY(J17,-1,[2]Hoja1!$A$1:$A$72)</f>
        <v>46276</v>
      </c>
      <c r="H17" s="208">
        <v>46248</v>
      </c>
      <c r="I17" s="201">
        <v>46248</v>
      </c>
      <c r="J17" s="202">
        <v>46277</v>
      </c>
      <c r="K17" s="201">
        <f t="shared" si="0"/>
        <v>46277</v>
      </c>
      <c r="L17" s="203">
        <f t="shared" si="1"/>
        <v>29</v>
      </c>
      <c r="M17" s="200">
        <f>WORKDAY(J17,2,[2]Hoja1!$A$1:$A$72)</f>
        <v>46280</v>
      </c>
      <c r="N17" s="204">
        <f t="shared" si="2"/>
        <v>46280</v>
      </c>
      <c r="O17" s="205">
        <v>46281</v>
      </c>
      <c r="P17" s="201">
        <f t="shared" si="3"/>
        <v>46281</v>
      </c>
      <c r="Q17" s="200">
        <f>WORKDAY(O17,1,[2]Hoja1!$A$1:$A$72)</f>
        <v>46282</v>
      </c>
      <c r="R17" s="201">
        <f t="shared" si="10"/>
        <v>46282</v>
      </c>
      <c r="S17" s="200">
        <f>WORKDAY(Q17,1,[2]Hoja1!$A$1:$A$72)</f>
        <v>46283</v>
      </c>
      <c r="T17" s="204">
        <f t="shared" si="11"/>
        <v>46283</v>
      </c>
      <c r="U17" s="200">
        <f t="shared" si="12"/>
        <v>46283</v>
      </c>
      <c r="V17" s="204">
        <f t="shared" si="13"/>
        <v>46283</v>
      </c>
      <c r="W17" s="200">
        <f t="shared" si="14"/>
        <v>46283</v>
      </c>
      <c r="X17" s="204">
        <f t="shared" si="15"/>
        <v>46283</v>
      </c>
      <c r="Y17" s="205">
        <v>46293</v>
      </c>
      <c r="Z17" s="204">
        <f t="shared" si="5"/>
        <v>46293</v>
      </c>
      <c r="AA17" s="200">
        <f>WORKDAY(Y17,8,[2]Hoja1!$A$1:$A$72)</f>
        <v>46303</v>
      </c>
      <c r="AB17" s="204">
        <f t="shared" si="6"/>
        <v>46303</v>
      </c>
      <c r="AC17" s="200">
        <f>WORKDAY(AA17,1,[2]Hoja1!$A$1:$A$72)</f>
        <v>46304</v>
      </c>
      <c r="AD17" s="201">
        <f t="shared" si="7"/>
        <v>46304</v>
      </c>
      <c r="AE17" s="200">
        <f t="shared" si="8"/>
        <v>46304</v>
      </c>
      <c r="AF17" s="201">
        <f t="shared" si="9"/>
        <v>46304</v>
      </c>
    </row>
    <row r="18" spans="2:32" s="206" customFormat="1" ht="15.95" customHeight="1" x14ac:dyDescent="0.2">
      <c r="B18" s="196">
        <v>13</v>
      </c>
      <c r="C18" s="196">
        <v>12</v>
      </c>
      <c r="D18" s="196" t="s">
        <v>82</v>
      </c>
      <c r="E18" s="197" t="s">
        <v>43</v>
      </c>
      <c r="F18" s="207" t="s">
        <v>28</v>
      </c>
      <c r="G18" s="199">
        <f>WORKDAY(J18,-1,[2]Hoja1!$A$1:$A$72)</f>
        <v>46276</v>
      </c>
      <c r="H18" s="208">
        <v>46249</v>
      </c>
      <c r="I18" s="201">
        <v>46249</v>
      </c>
      <c r="J18" s="202">
        <v>46279</v>
      </c>
      <c r="K18" s="201">
        <f t="shared" si="0"/>
        <v>46279</v>
      </c>
      <c r="L18" s="203">
        <f t="shared" si="1"/>
        <v>30</v>
      </c>
      <c r="M18" s="200">
        <f>WORKDAY(J18,1,[2]Hoja1!$A$1:$A$72)</f>
        <v>46280</v>
      </c>
      <c r="N18" s="204">
        <f t="shared" si="2"/>
        <v>46280</v>
      </c>
      <c r="O18" s="205">
        <v>46281</v>
      </c>
      <c r="P18" s="201">
        <f t="shared" si="3"/>
        <v>46281</v>
      </c>
      <c r="Q18" s="200">
        <f>+O18</f>
        <v>46281</v>
      </c>
      <c r="R18" s="201">
        <f t="shared" si="10"/>
        <v>46281</v>
      </c>
      <c r="S18" s="200">
        <f>WORKDAY(Q18,1,[2]Hoja1!$A$1:$A$72)</f>
        <v>46282</v>
      </c>
      <c r="T18" s="204">
        <f t="shared" si="11"/>
        <v>46282</v>
      </c>
      <c r="U18" s="200">
        <f t="shared" si="12"/>
        <v>46282</v>
      </c>
      <c r="V18" s="204">
        <f t="shared" si="13"/>
        <v>46282</v>
      </c>
      <c r="W18" s="200">
        <f t="shared" si="14"/>
        <v>46282</v>
      </c>
      <c r="X18" s="204">
        <f t="shared" si="15"/>
        <v>46282</v>
      </c>
      <c r="Y18" s="205">
        <v>46284</v>
      </c>
      <c r="Z18" s="204">
        <f t="shared" si="5"/>
        <v>46284</v>
      </c>
      <c r="AA18" s="200">
        <f>WORKDAY(Y18,10,[2]Hoja1!$A$1:$A$72)</f>
        <v>46297</v>
      </c>
      <c r="AB18" s="204">
        <f t="shared" si="6"/>
        <v>46297</v>
      </c>
      <c r="AC18" s="200">
        <f>WORKDAY(AA18,1,[2]Hoja1!$A$1:$A$72)</f>
        <v>46300</v>
      </c>
      <c r="AD18" s="201">
        <f t="shared" si="7"/>
        <v>46300</v>
      </c>
      <c r="AE18" s="200">
        <f t="shared" si="8"/>
        <v>46300</v>
      </c>
      <c r="AF18" s="201">
        <f t="shared" si="9"/>
        <v>46300</v>
      </c>
    </row>
    <row r="19" spans="2:32" s="206" customFormat="1" ht="15" customHeight="1" x14ac:dyDescent="0.2">
      <c r="B19" s="196">
        <v>59</v>
      </c>
      <c r="C19" s="196">
        <v>13</v>
      </c>
      <c r="D19" s="196" t="s">
        <v>70</v>
      </c>
      <c r="E19" s="197" t="s">
        <v>27</v>
      </c>
      <c r="F19" s="207" t="s">
        <v>31</v>
      </c>
      <c r="G19" s="199">
        <f>WORKDAY(J19,-1,[2]Hoja1!$A$1:$A$72)</f>
        <v>46279</v>
      </c>
      <c r="H19" s="208">
        <v>46218</v>
      </c>
      <c r="I19" s="201">
        <f>+H19</f>
        <v>46218</v>
      </c>
      <c r="J19" s="202">
        <v>46280</v>
      </c>
      <c r="K19" s="201">
        <f>+J19</f>
        <v>46280</v>
      </c>
      <c r="L19" s="203">
        <f>(J19-H19)</f>
        <v>62</v>
      </c>
      <c r="M19" s="200">
        <f>WORKDAY(J19,1,[2]Hoja1!$A$1:$A$72)</f>
        <v>46281</v>
      </c>
      <c r="N19" s="204">
        <f>+M19</f>
        <v>46281</v>
      </c>
      <c r="O19" s="205">
        <v>46282</v>
      </c>
      <c r="P19" s="201">
        <f>+O19</f>
        <v>46282</v>
      </c>
      <c r="Q19" s="200">
        <f>+O19</f>
        <v>46282</v>
      </c>
      <c r="R19" s="201">
        <f>+Q19</f>
        <v>46282</v>
      </c>
      <c r="S19" s="200">
        <f>WORKDAY(Q19,1,[2]Hoja1!$A$1:$A$72)</f>
        <v>46283</v>
      </c>
      <c r="T19" s="204">
        <f>+S19</f>
        <v>46283</v>
      </c>
      <c r="U19" s="200">
        <f>+S19</f>
        <v>46283</v>
      </c>
      <c r="V19" s="204">
        <f>+U19</f>
        <v>46283</v>
      </c>
      <c r="W19" s="200">
        <f>+U19</f>
        <v>46283</v>
      </c>
      <c r="X19" s="204">
        <f>+W19</f>
        <v>46283</v>
      </c>
      <c r="Y19" s="205">
        <v>46287</v>
      </c>
      <c r="Z19" s="204">
        <f>+Y19</f>
        <v>46287</v>
      </c>
      <c r="AA19" s="200">
        <f>WORKDAY(Y19,22,[2]Hoja1!$A$1:$A$72)</f>
        <v>46318</v>
      </c>
      <c r="AB19" s="204">
        <f>AA19</f>
        <v>46318</v>
      </c>
      <c r="AC19" s="200">
        <f>WORKDAY(AA19,1,[2]Hoja1!$A$1:$A$72)</f>
        <v>46321</v>
      </c>
      <c r="AD19" s="201">
        <f>+AC19</f>
        <v>46321</v>
      </c>
      <c r="AE19" s="200">
        <f>+AC19</f>
        <v>46321</v>
      </c>
      <c r="AF19" s="201">
        <f>+AE19</f>
        <v>46321</v>
      </c>
    </row>
    <row r="20" spans="2:32" s="138" customFormat="1" ht="15.95" customHeight="1" x14ac:dyDescent="0.2">
      <c r="B20" s="212">
        <v>64</v>
      </c>
      <c r="C20" s="212">
        <v>12</v>
      </c>
      <c r="D20" s="196" t="s">
        <v>73</v>
      </c>
      <c r="E20" s="213" t="s">
        <v>36</v>
      </c>
      <c r="F20" s="214" t="s">
        <v>31</v>
      </c>
      <c r="G20" s="199">
        <f>WORKDAY(J20,-1,[2]Hoja1!$A$1:$A$72)</f>
        <v>46281</v>
      </c>
      <c r="H20" s="208">
        <v>46221</v>
      </c>
      <c r="I20" s="201">
        <f>+H20</f>
        <v>46221</v>
      </c>
      <c r="J20" s="202">
        <v>46282</v>
      </c>
      <c r="K20" s="201">
        <f>+J20</f>
        <v>46282</v>
      </c>
      <c r="L20" s="215">
        <f>(J20-H20)</f>
        <v>61</v>
      </c>
      <c r="M20" s="200">
        <f>WORKDAY(J20,1,[2]Hoja1!$A$1:$A$72)</f>
        <v>46283</v>
      </c>
      <c r="N20" s="216">
        <f>+M20</f>
        <v>46283</v>
      </c>
      <c r="O20" s="205">
        <v>46284</v>
      </c>
      <c r="P20" s="201">
        <f>+O20</f>
        <v>46284</v>
      </c>
      <c r="Q20" s="200">
        <f>+O20</f>
        <v>46284</v>
      </c>
      <c r="R20" s="217">
        <f>+Q20</f>
        <v>46284</v>
      </c>
      <c r="S20" s="200">
        <f>WORKDAY(Q20,1,[2]Hoja1!$A$1:$A$72)</f>
        <v>46286</v>
      </c>
      <c r="T20" s="216">
        <f>+S20</f>
        <v>46286</v>
      </c>
      <c r="U20" s="218">
        <f>+S20</f>
        <v>46286</v>
      </c>
      <c r="V20" s="216">
        <f>+U20</f>
        <v>46286</v>
      </c>
      <c r="W20" s="218">
        <f>+U20</f>
        <v>46286</v>
      </c>
      <c r="X20" s="216">
        <f>+W20</f>
        <v>46286</v>
      </c>
      <c r="Y20" s="205">
        <v>46288</v>
      </c>
      <c r="Z20" s="204">
        <f>+Y20</f>
        <v>46288</v>
      </c>
      <c r="AA20" s="200">
        <f>WORKDAY(Y20,23,[2]Hoja1!$A$1:$A$72)</f>
        <v>46322</v>
      </c>
      <c r="AB20" s="216">
        <f>AA20</f>
        <v>46322</v>
      </c>
      <c r="AC20" s="200">
        <f>WORKDAY(AA20,1,[2]Hoja1!$A$1:$A$72)</f>
        <v>46323</v>
      </c>
      <c r="AD20" s="217">
        <f>+AC20</f>
        <v>46323</v>
      </c>
      <c r="AE20" s="218">
        <f>+AC20</f>
        <v>46323</v>
      </c>
      <c r="AF20" s="217">
        <f>+AE20</f>
        <v>46323</v>
      </c>
    </row>
    <row r="21" spans="2:32" s="206" customFormat="1" ht="15.95" customHeight="1" x14ac:dyDescent="0.2">
      <c r="B21" s="196">
        <v>35</v>
      </c>
      <c r="C21" s="196">
        <v>11</v>
      </c>
      <c r="D21" s="196" t="s">
        <v>81</v>
      </c>
      <c r="E21" s="197" t="s">
        <v>39</v>
      </c>
      <c r="F21" s="207" t="s">
        <v>28</v>
      </c>
      <c r="G21" s="199">
        <f>WORKDAY(J21,-1,[2]Hoja1!$A$1:$A$72)</f>
        <v>46282</v>
      </c>
      <c r="H21" s="208">
        <v>46252</v>
      </c>
      <c r="I21" s="201">
        <v>46252</v>
      </c>
      <c r="J21" s="202">
        <v>46283</v>
      </c>
      <c r="K21" s="201">
        <f t="shared" si="0"/>
        <v>46283</v>
      </c>
      <c r="L21" s="203">
        <f t="shared" si="1"/>
        <v>31</v>
      </c>
      <c r="M21" s="200">
        <f>WORKDAY(J21,1,[2]Hoja1!$A$1:$A$72)</f>
        <v>46286</v>
      </c>
      <c r="N21" s="204">
        <f t="shared" si="2"/>
        <v>46286</v>
      </c>
      <c r="O21" s="205">
        <v>46287</v>
      </c>
      <c r="P21" s="201">
        <f t="shared" si="3"/>
        <v>46287</v>
      </c>
      <c r="Q21" s="200">
        <f>WORKDAY(O21,1,[2]Hoja1!$A$1:$A$72)</f>
        <v>46288</v>
      </c>
      <c r="R21" s="201">
        <f t="shared" si="10"/>
        <v>46288</v>
      </c>
      <c r="S21" s="200">
        <f>WORKDAY(Q21,1,[2]Hoja1!$A$1:$A$72)</f>
        <v>46289</v>
      </c>
      <c r="T21" s="204">
        <f t="shared" si="11"/>
        <v>46289</v>
      </c>
      <c r="U21" s="200">
        <f t="shared" si="12"/>
        <v>46289</v>
      </c>
      <c r="V21" s="204">
        <f t="shared" si="13"/>
        <v>46289</v>
      </c>
      <c r="W21" s="200">
        <f t="shared" si="14"/>
        <v>46289</v>
      </c>
      <c r="X21" s="204">
        <f t="shared" si="15"/>
        <v>46289</v>
      </c>
      <c r="Y21" s="205">
        <v>46295</v>
      </c>
      <c r="Z21" s="204">
        <f t="shared" si="5"/>
        <v>46295</v>
      </c>
      <c r="AA21" s="200">
        <f>WORKDAY(Y21,8,[2]Hoja1!$A$1:$A$72)</f>
        <v>46308</v>
      </c>
      <c r="AB21" s="204">
        <f t="shared" si="6"/>
        <v>46308</v>
      </c>
      <c r="AC21" s="200">
        <f>WORKDAY(AA21,1,[2]Hoja1!$A$1:$A$72)</f>
        <v>46309</v>
      </c>
      <c r="AD21" s="201">
        <f t="shared" si="7"/>
        <v>46309</v>
      </c>
      <c r="AE21" s="200">
        <f t="shared" si="8"/>
        <v>46309</v>
      </c>
      <c r="AF21" s="201">
        <f t="shared" si="9"/>
        <v>46309</v>
      </c>
    </row>
    <row r="22" spans="2:32" s="206" customFormat="1" ht="15.95" customHeight="1" x14ac:dyDescent="0.2">
      <c r="B22" s="196">
        <v>9</v>
      </c>
      <c r="C22" s="196">
        <v>11</v>
      </c>
      <c r="D22" s="196" t="s">
        <v>69</v>
      </c>
      <c r="E22" s="197" t="s">
        <v>44</v>
      </c>
      <c r="F22" s="207" t="s">
        <v>28</v>
      </c>
      <c r="G22" s="199">
        <f>WORKDAY(J22,-1,[2]Hoja1!$A$1:$A$72)</f>
        <v>46282</v>
      </c>
      <c r="H22" s="208">
        <v>46252</v>
      </c>
      <c r="I22" s="201">
        <v>46252</v>
      </c>
      <c r="J22" s="202">
        <v>46283</v>
      </c>
      <c r="K22" s="201">
        <f t="shared" si="0"/>
        <v>46283</v>
      </c>
      <c r="L22" s="203">
        <f t="shared" si="1"/>
        <v>31</v>
      </c>
      <c r="M22" s="200">
        <f>WORKDAY(J22,1,[2]Hoja1!$A$1:$A$72)</f>
        <v>46286</v>
      </c>
      <c r="N22" s="204">
        <f t="shared" si="2"/>
        <v>46286</v>
      </c>
      <c r="O22" s="205">
        <v>46287</v>
      </c>
      <c r="P22" s="201">
        <f t="shared" si="3"/>
        <v>46287</v>
      </c>
      <c r="Q22" s="200">
        <f>+O22</f>
        <v>46287</v>
      </c>
      <c r="R22" s="201">
        <f t="shared" si="10"/>
        <v>46287</v>
      </c>
      <c r="S22" s="200">
        <f>WORKDAY(Q22,1,[2]Hoja1!$A$1:$A$72)</f>
        <v>46288</v>
      </c>
      <c r="T22" s="204">
        <f t="shared" si="11"/>
        <v>46288</v>
      </c>
      <c r="U22" s="200">
        <f t="shared" si="12"/>
        <v>46288</v>
      </c>
      <c r="V22" s="204">
        <f t="shared" si="13"/>
        <v>46288</v>
      </c>
      <c r="W22" s="200">
        <f t="shared" si="14"/>
        <v>46288</v>
      </c>
      <c r="X22" s="204">
        <f t="shared" si="15"/>
        <v>46288</v>
      </c>
      <c r="Y22" s="205">
        <v>46290</v>
      </c>
      <c r="Z22" s="204">
        <f t="shared" si="5"/>
        <v>46290</v>
      </c>
      <c r="AA22" s="200">
        <f>WORKDAY(Y22,7,[2]Hoja1!$A$1:$A$72)</f>
        <v>46301</v>
      </c>
      <c r="AB22" s="204">
        <f t="shared" si="6"/>
        <v>46301</v>
      </c>
      <c r="AC22" s="200">
        <f>WORKDAY(AA22,1,[2]Hoja1!$A$1:$A$72)</f>
        <v>46302</v>
      </c>
      <c r="AD22" s="201">
        <f t="shared" si="7"/>
        <v>46302</v>
      </c>
      <c r="AE22" s="200">
        <f t="shared" si="8"/>
        <v>46302</v>
      </c>
      <c r="AF22" s="201">
        <f t="shared" si="9"/>
        <v>46302</v>
      </c>
    </row>
    <row r="23" spans="2:32" s="206" customFormat="1" ht="15.95" customHeight="1" x14ac:dyDescent="0.2">
      <c r="B23" s="196">
        <v>42</v>
      </c>
      <c r="C23" s="196">
        <v>11</v>
      </c>
      <c r="D23" s="196" t="s">
        <v>70</v>
      </c>
      <c r="E23" s="197" t="s">
        <v>39</v>
      </c>
      <c r="F23" s="207" t="s">
        <v>28</v>
      </c>
      <c r="G23" s="199">
        <f>WORKDAY(J23,-1,[2]Hoja1!$A$1:$A$72)</f>
        <v>46283</v>
      </c>
      <c r="H23" s="208">
        <v>46254</v>
      </c>
      <c r="I23" s="201">
        <v>46254</v>
      </c>
      <c r="J23" s="202">
        <v>46284</v>
      </c>
      <c r="K23" s="201">
        <f t="shared" si="0"/>
        <v>46284</v>
      </c>
      <c r="L23" s="203">
        <f t="shared" si="1"/>
        <v>30</v>
      </c>
      <c r="M23" s="200">
        <f>WORKDAY(J23,1,[2]Hoja1!$A$1:$A$72)</f>
        <v>46286</v>
      </c>
      <c r="N23" s="204">
        <f t="shared" si="2"/>
        <v>46286</v>
      </c>
      <c r="O23" s="205">
        <v>46287</v>
      </c>
      <c r="P23" s="201">
        <f t="shared" si="3"/>
        <v>46287</v>
      </c>
      <c r="Q23" s="200">
        <f>WORKDAY(O23,1,[2]Hoja1!$A$1:$A$72)</f>
        <v>46288</v>
      </c>
      <c r="R23" s="201">
        <f t="shared" si="10"/>
        <v>46288</v>
      </c>
      <c r="S23" s="200">
        <f>WORKDAY(Q23,1,[2]Hoja1!$A$1:$A$72)</f>
        <v>46289</v>
      </c>
      <c r="T23" s="204">
        <f t="shared" si="11"/>
        <v>46289</v>
      </c>
      <c r="U23" s="200">
        <f t="shared" si="12"/>
        <v>46289</v>
      </c>
      <c r="V23" s="204">
        <f t="shared" si="13"/>
        <v>46289</v>
      </c>
      <c r="W23" s="200">
        <f t="shared" si="14"/>
        <v>46289</v>
      </c>
      <c r="X23" s="204">
        <f t="shared" si="15"/>
        <v>46289</v>
      </c>
      <c r="Y23" s="205">
        <v>46296</v>
      </c>
      <c r="Z23" s="204">
        <f t="shared" si="5"/>
        <v>46296</v>
      </c>
      <c r="AA23" s="200">
        <f>WORKDAY(Y23,8,[2]Hoja1!$A$1:$A$72)</f>
        <v>46309</v>
      </c>
      <c r="AB23" s="204">
        <f t="shared" si="6"/>
        <v>46309</v>
      </c>
      <c r="AC23" s="200">
        <f>WORKDAY(AA23,1,[2]Hoja1!$A$1:$A$72)</f>
        <v>46310</v>
      </c>
      <c r="AD23" s="201">
        <f t="shared" si="7"/>
        <v>46310</v>
      </c>
      <c r="AE23" s="200">
        <f t="shared" si="8"/>
        <v>46310</v>
      </c>
      <c r="AF23" s="201">
        <f t="shared" si="9"/>
        <v>46310</v>
      </c>
    </row>
    <row r="24" spans="2:32" s="206" customFormat="1" ht="15.95" customHeight="1" x14ac:dyDescent="0.2">
      <c r="B24" s="196">
        <v>47</v>
      </c>
      <c r="C24" s="196">
        <v>11</v>
      </c>
      <c r="D24" s="196" t="s">
        <v>82</v>
      </c>
      <c r="E24" s="197" t="s">
        <v>39</v>
      </c>
      <c r="F24" s="207" t="s">
        <v>28</v>
      </c>
      <c r="G24" s="199">
        <f>WORKDAY(J24,-1,[2]Hoja1!$A$1:$A$72)</f>
        <v>46283</v>
      </c>
      <c r="H24" s="208">
        <v>46256</v>
      </c>
      <c r="I24" s="201">
        <v>46256</v>
      </c>
      <c r="J24" s="202">
        <v>46286</v>
      </c>
      <c r="K24" s="201">
        <f t="shared" si="0"/>
        <v>46286</v>
      </c>
      <c r="L24" s="203">
        <f>(J24-H24)</f>
        <v>30</v>
      </c>
      <c r="M24" s="200">
        <f>WORKDAY(J24,1,[2]Hoja1!$A$1:$A$72)</f>
        <v>46287</v>
      </c>
      <c r="N24" s="204">
        <f t="shared" si="2"/>
        <v>46287</v>
      </c>
      <c r="O24" s="205">
        <v>46289</v>
      </c>
      <c r="P24" s="201">
        <f t="shared" si="3"/>
        <v>46289</v>
      </c>
      <c r="Q24" s="200">
        <f>WORKDAY(O24,1,[2]Hoja1!$A$1:$A$72)</f>
        <v>46290</v>
      </c>
      <c r="R24" s="201">
        <f t="shared" si="10"/>
        <v>46290</v>
      </c>
      <c r="S24" s="200">
        <f>WORKDAY(Q24,1,[2]Hoja1!$A$1:$A$72)</f>
        <v>46293</v>
      </c>
      <c r="T24" s="204">
        <f t="shared" si="11"/>
        <v>46293</v>
      </c>
      <c r="U24" s="200">
        <f t="shared" si="12"/>
        <v>46293</v>
      </c>
      <c r="V24" s="204">
        <f t="shared" si="13"/>
        <v>46293</v>
      </c>
      <c r="W24" s="200">
        <f t="shared" si="14"/>
        <v>46293</v>
      </c>
      <c r="X24" s="204">
        <f t="shared" si="15"/>
        <v>46293</v>
      </c>
      <c r="Y24" s="205">
        <v>46297</v>
      </c>
      <c r="Z24" s="204">
        <f t="shared" si="5"/>
        <v>46297</v>
      </c>
      <c r="AA24" s="200">
        <f>WORKDAY(Y24,8,[2]Hoja1!$A$1:$A$72)</f>
        <v>46310</v>
      </c>
      <c r="AB24" s="204">
        <f t="shared" si="6"/>
        <v>46310</v>
      </c>
      <c r="AC24" s="200">
        <f>WORKDAY(AA24,1,[2]Hoja1!$A$1:$A$72)</f>
        <v>46311</v>
      </c>
      <c r="AD24" s="201">
        <f t="shared" si="7"/>
        <v>46311</v>
      </c>
      <c r="AE24" s="200">
        <f t="shared" si="8"/>
        <v>46311</v>
      </c>
      <c r="AF24" s="201">
        <f t="shared" si="9"/>
        <v>46311</v>
      </c>
    </row>
    <row r="25" spans="2:32" s="138" customFormat="1" ht="15.95" customHeight="1" x14ac:dyDescent="0.2">
      <c r="B25" s="212">
        <v>71</v>
      </c>
      <c r="C25" s="212">
        <v>11</v>
      </c>
      <c r="D25" s="196" t="s">
        <v>81</v>
      </c>
      <c r="E25" s="213" t="s">
        <v>33</v>
      </c>
      <c r="F25" s="214" t="s">
        <v>31</v>
      </c>
      <c r="G25" s="199">
        <f>WORKDAY(J25,-1,[2]Hoja1!$A$1:$A$72)</f>
        <v>46283</v>
      </c>
      <c r="H25" s="208">
        <v>46225</v>
      </c>
      <c r="I25" s="201">
        <f>+H25</f>
        <v>46225</v>
      </c>
      <c r="J25" s="202">
        <v>46286</v>
      </c>
      <c r="K25" s="201">
        <f t="shared" si="0"/>
        <v>46286</v>
      </c>
      <c r="L25" s="215">
        <f>(J25-H25)</f>
        <v>61</v>
      </c>
      <c r="M25" s="200">
        <f>WORKDAY(J25,1,[2]Hoja1!$A$1:$A$72)</f>
        <v>46287</v>
      </c>
      <c r="N25" s="216">
        <f>+M25</f>
        <v>46287</v>
      </c>
      <c r="O25" s="205">
        <v>46288</v>
      </c>
      <c r="P25" s="201">
        <f>+O25</f>
        <v>46288</v>
      </c>
      <c r="Q25" s="200">
        <f>+O25</f>
        <v>46288</v>
      </c>
      <c r="R25" s="217">
        <f>+Q25</f>
        <v>46288</v>
      </c>
      <c r="S25" s="200">
        <f>WORKDAY(Q25,1,[2]Hoja1!$A$1:$A$72)</f>
        <v>46289</v>
      </c>
      <c r="T25" s="216">
        <f>+S25</f>
        <v>46289</v>
      </c>
      <c r="U25" s="218">
        <f>+S25</f>
        <v>46289</v>
      </c>
      <c r="V25" s="216">
        <f>+U25</f>
        <v>46289</v>
      </c>
      <c r="W25" s="218">
        <f>+U25</f>
        <v>46289</v>
      </c>
      <c r="X25" s="216">
        <f>+W25</f>
        <v>46289</v>
      </c>
      <c r="Y25" s="205">
        <v>46291</v>
      </c>
      <c r="Z25" s="204">
        <f>+Y25</f>
        <v>46291</v>
      </c>
      <c r="AA25" s="200">
        <f>WORKDAY(Y25,20,[2]Hoja1!$A$1:$A$72)</f>
        <v>46321</v>
      </c>
      <c r="AB25" s="216">
        <f>AA25</f>
        <v>46321</v>
      </c>
      <c r="AC25" s="200">
        <f>WORKDAY(AA25,1,[2]Hoja1!$A$1:$A$72)</f>
        <v>46322</v>
      </c>
      <c r="AD25" s="217">
        <f>+AC25</f>
        <v>46322</v>
      </c>
      <c r="AE25" s="218">
        <f>+AC25</f>
        <v>46322</v>
      </c>
      <c r="AF25" s="217">
        <f>+AE25</f>
        <v>46322</v>
      </c>
    </row>
    <row r="26" spans="2:32" s="206" customFormat="1" ht="15" customHeight="1" x14ac:dyDescent="0.2">
      <c r="B26" s="196">
        <v>49</v>
      </c>
      <c r="C26" s="196">
        <v>11</v>
      </c>
      <c r="D26" s="196" t="s">
        <v>82</v>
      </c>
      <c r="E26" s="197" t="s">
        <v>39</v>
      </c>
      <c r="F26" s="207" t="s">
        <v>28</v>
      </c>
      <c r="G26" s="199">
        <f>WORKDAY(J26,-1,[2]Hoja1!$A$1:$A$72)</f>
        <v>46286</v>
      </c>
      <c r="H26" s="208">
        <v>46258</v>
      </c>
      <c r="I26" s="201">
        <v>46258</v>
      </c>
      <c r="J26" s="202">
        <v>46287</v>
      </c>
      <c r="K26" s="201">
        <f t="shared" si="0"/>
        <v>46287</v>
      </c>
      <c r="L26" s="203">
        <f>(J26-H26)</f>
        <v>29</v>
      </c>
      <c r="M26" s="200">
        <f>WORKDAY(J26,1,[2]Hoja1!$A$1:$A$72)</f>
        <v>46288</v>
      </c>
      <c r="N26" s="204">
        <f t="shared" si="2"/>
        <v>46288</v>
      </c>
      <c r="O26" s="205">
        <v>46289</v>
      </c>
      <c r="P26" s="201">
        <f t="shared" si="3"/>
        <v>46289</v>
      </c>
      <c r="Q26" s="200">
        <f>WORKDAY(O26,1,[2]Hoja1!$A$1:$A$72)</f>
        <v>46290</v>
      </c>
      <c r="R26" s="201">
        <f t="shared" si="10"/>
        <v>46290</v>
      </c>
      <c r="S26" s="200">
        <f>WORKDAY(Q26,1,[2]Hoja1!$A$1:$A$72)</f>
        <v>46293</v>
      </c>
      <c r="T26" s="204">
        <f t="shared" si="11"/>
        <v>46293</v>
      </c>
      <c r="U26" s="200">
        <f t="shared" si="12"/>
        <v>46293</v>
      </c>
      <c r="V26" s="204">
        <f t="shared" si="13"/>
        <v>46293</v>
      </c>
      <c r="W26" s="200">
        <f t="shared" si="14"/>
        <v>46293</v>
      </c>
      <c r="X26" s="204">
        <f t="shared" si="15"/>
        <v>46293</v>
      </c>
      <c r="Y26" s="205">
        <v>46297</v>
      </c>
      <c r="Z26" s="204">
        <f t="shared" si="5"/>
        <v>46297</v>
      </c>
      <c r="AA26" s="200">
        <f>WORKDAY(Y26,9,[2]Hoja1!$A$1:$A$72)</f>
        <v>46311</v>
      </c>
      <c r="AB26" s="204">
        <f t="shared" si="6"/>
        <v>46311</v>
      </c>
      <c r="AC26" s="200">
        <f>WORKDAY(AA26,1,[2]Hoja1!$A$1:$A$72)</f>
        <v>46314</v>
      </c>
      <c r="AD26" s="201">
        <f t="shared" si="7"/>
        <v>46314</v>
      </c>
      <c r="AE26" s="200">
        <f t="shared" si="8"/>
        <v>46314</v>
      </c>
      <c r="AF26" s="201">
        <f t="shared" si="9"/>
        <v>46314</v>
      </c>
    </row>
    <row r="27" spans="2:32" s="138" customFormat="1" ht="15.95" customHeight="1" x14ac:dyDescent="0.2">
      <c r="B27" s="212">
        <v>65</v>
      </c>
      <c r="C27" s="212">
        <v>12</v>
      </c>
      <c r="D27" s="212" t="s">
        <v>69</v>
      </c>
      <c r="E27" s="213" t="s">
        <v>72</v>
      </c>
      <c r="F27" s="214" t="s">
        <v>31</v>
      </c>
      <c r="G27" s="199">
        <f>WORKDAY(J27,-1,[2]Hoja1!$A$1:$A$72)</f>
        <v>46287</v>
      </c>
      <c r="H27" s="208">
        <v>46228</v>
      </c>
      <c r="I27" s="201">
        <f>+H27</f>
        <v>46228</v>
      </c>
      <c r="J27" s="202">
        <v>46288</v>
      </c>
      <c r="K27" s="201">
        <f t="shared" si="0"/>
        <v>46288</v>
      </c>
      <c r="L27" s="215">
        <f>(J27-H27)</f>
        <v>60</v>
      </c>
      <c r="M27" s="200">
        <f>WORKDAY(J27,1,[2]Hoja1!$A$1:$A$72)</f>
        <v>46289</v>
      </c>
      <c r="N27" s="216">
        <f>+M27</f>
        <v>46289</v>
      </c>
      <c r="O27" s="205">
        <v>46290</v>
      </c>
      <c r="P27" s="201">
        <f>+O27</f>
        <v>46290</v>
      </c>
      <c r="Q27" s="200">
        <f>+O27</f>
        <v>46290</v>
      </c>
      <c r="R27" s="217">
        <f>+Q27</f>
        <v>46290</v>
      </c>
      <c r="S27" s="200">
        <f>WORKDAY(Q27,1,[2]Hoja1!$A$1:$A$72)</f>
        <v>46293</v>
      </c>
      <c r="T27" s="216">
        <f>+S27</f>
        <v>46293</v>
      </c>
      <c r="U27" s="218">
        <f>+S27</f>
        <v>46293</v>
      </c>
      <c r="V27" s="216">
        <f>+U27</f>
        <v>46293</v>
      </c>
      <c r="W27" s="218">
        <f>+U27</f>
        <v>46293</v>
      </c>
      <c r="X27" s="216">
        <f>+W27</f>
        <v>46293</v>
      </c>
      <c r="Y27" s="205">
        <v>46295</v>
      </c>
      <c r="Z27" s="204">
        <f>+Y27</f>
        <v>46295</v>
      </c>
      <c r="AA27" s="200">
        <f>WORKDAY(Y27,25,[2]Hoja1!$A$1:$A$72)</f>
        <v>46332</v>
      </c>
      <c r="AB27" s="216">
        <f>AA27</f>
        <v>46332</v>
      </c>
      <c r="AC27" s="200">
        <f>WORKDAY(AA27,1,[2]Hoja1!$A$1:$A$72)</f>
        <v>46335</v>
      </c>
      <c r="AD27" s="217">
        <f>+AC27</f>
        <v>46335</v>
      </c>
      <c r="AE27" s="218">
        <f>+AC27</f>
        <v>46335</v>
      </c>
      <c r="AF27" s="217">
        <f>+AE27</f>
        <v>46335</v>
      </c>
    </row>
    <row r="28" spans="2:32" s="206" customFormat="1" ht="15.95" customHeight="1" x14ac:dyDescent="0.2">
      <c r="B28" s="196">
        <v>51</v>
      </c>
      <c r="C28" s="196">
        <v>11</v>
      </c>
      <c r="D28" s="196" t="s">
        <v>70</v>
      </c>
      <c r="E28" s="197" t="s">
        <v>39</v>
      </c>
      <c r="F28" s="207" t="s">
        <v>28</v>
      </c>
      <c r="G28" s="199">
        <f>WORKDAY(J28,-2,[2]Hoja1!$A$1:$A$72)</f>
        <v>46287</v>
      </c>
      <c r="H28" s="208">
        <v>46258</v>
      </c>
      <c r="I28" s="201">
        <v>46258</v>
      </c>
      <c r="J28" s="202">
        <v>46289</v>
      </c>
      <c r="K28" s="201">
        <f t="shared" si="0"/>
        <v>46289</v>
      </c>
      <c r="L28" s="203">
        <f t="shared" si="1"/>
        <v>31</v>
      </c>
      <c r="M28" s="200">
        <f>WORKDAY(J28,1,[2]Hoja1!$A$1:$A$72)</f>
        <v>46290</v>
      </c>
      <c r="N28" s="204">
        <f t="shared" si="2"/>
        <v>46290</v>
      </c>
      <c r="O28" s="205">
        <v>46291</v>
      </c>
      <c r="P28" s="201">
        <f t="shared" si="3"/>
        <v>46291</v>
      </c>
      <c r="Q28" s="200">
        <f>WORKDAY(O28,1,[2]Hoja1!$A$1:$A$72)</f>
        <v>46293</v>
      </c>
      <c r="R28" s="201">
        <f t="shared" si="10"/>
        <v>46293</v>
      </c>
      <c r="S28" s="200">
        <f>WORKDAY(Q28,1,[2]Hoja1!$A$1:$A$72)</f>
        <v>46294</v>
      </c>
      <c r="T28" s="204">
        <f t="shared" si="11"/>
        <v>46294</v>
      </c>
      <c r="U28" s="200">
        <f t="shared" si="12"/>
        <v>46294</v>
      </c>
      <c r="V28" s="204">
        <f t="shared" si="13"/>
        <v>46294</v>
      </c>
      <c r="W28" s="200">
        <f t="shared" si="14"/>
        <v>46294</v>
      </c>
      <c r="X28" s="204">
        <f t="shared" si="15"/>
        <v>46294</v>
      </c>
      <c r="Y28" s="205">
        <v>46300</v>
      </c>
      <c r="Z28" s="204">
        <f t="shared" si="5"/>
        <v>46300</v>
      </c>
      <c r="AA28" s="200">
        <f>WORKDAY(Y28,9,[2]Hoja1!$A$1:$A$72)</f>
        <v>46314</v>
      </c>
      <c r="AB28" s="204">
        <f t="shared" si="6"/>
        <v>46314</v>
      </c>
      <c r="AC28" s="200">
        <f>WORKDAY(AA28,1,[2]Hoja1!$A$1:$A$72)</f>
        <v>46315</v>
      </c>
      <c r="AD28" s="201">
        <f t="shared" si="7"/>
        <v>46315</v>
      </c>
      <c r="AE28" s="200">
        <f t="shared" si="8"/>
        <v>46315</v>
      </c>
      <c r="AF28" s="201">
        <f t="shared" si="9"/>
        <v>46315</v>
      </c>
    </row>
    <row r="29" spans="2:32" s="206" customFormat="1" ht="15" customHeight="1" x14ac:dyDescent="0.2">
      <c r="B29" s="196">
        <v>53</v>
      </c>
      <c r="C29" s="196">
        <v>11</v>
      </c>
      <c r="D29" s="196" t="s">
        <v>81</v>
      </c>
      <c r="E29" s="197" t="s">
        <v>39</v>
      </c>
      <c r="F29" s="207" t="s">
        <v>28</v>
      </c>
      <c r="G29" s="199">
        <f>WORKDAY(J29,-1,[2]Hoja1!$A$1:$A$72)</f>
        <v>46288</v>
      </c>
      <c r="H29" s="208">
        <v>46259</v>
      </c>
      <c r="I29" s="201">
        <v>46259</v>
      </c>
      <c r="J29" s="202">
        <v>46289</v>
      </c>
      <c r="K29" s="201">
        <f t="shared" si="0"/>
        <v>46289</v>
      </c>
      <c r="L29" s="203">
        <f t="shared" si="1"/>
        <v>30</v>
      </c>
      <c r="M29" s="200">
        <f>WORKDAY(J29,1,[2]Hoja1!$A$1:$A$72)</f>
        <v>46290</v>
      </c>
      <c r="N29" s="204">
        <f t="shared" si="2"/>
        <v>46290</v>
      </c>
      <c r="O29" s="205">
        <v>46291</v>
      </c>
      <c r="P29" s="201">
        <f t="shared" si="3"/>
        <v>46291</v>
      </c>
      <c r="Q29" s="200">
        <f>WORKDAY(O29,1,[2]Hoja1!$A$1:$A$72)</f>
        <v>46293</v>
      </c>
      <c r="R29" s="201">
        <f t="shared" si="10"/>
        <v>46293</v>
      </c>
      <c r="S29" s="200">
        <f>WORKDAY(Q29,1,[2]Hoja1!$A$1:$A$72)</f>
        <v>46294</v>
      </c>
      <c r="T29" s="204">
        <f t="shared" si="11"/>
        <v>46294</v>
      </c>
      <c r="U29" s="200">
        <f t="shared" si="12"/>
        <v>46294</v>
      </c>
      <c r="V29" s="204">
        <f t="shared" si="13"/>
        <v>46294</v>
      </c>
      <c r="W29" s="200">
        <f t="shared" si="14"/>
        <v>46294</v>
      </c>
      <c r="X29" s="204">
        <f t="shared" si="15"/>
        <v>46294</v>
      </c>
      <c r="Y29" s="205">
        <v>46301</v>
      </c>
      <c r="Z29" s="204">
        <f t="shared" si="5"/>
        <v>46301</v>
      </c>
      <c r="AA29" s="200">
        <f>WORKDAY(Y29,10,[2]Hoja1!$A$1:$A$72)</f>
        <v>46316</v>
      </c>
      <c r="AB29" s="204">
        <f t="shared" si="6"/>
        <v>46316</v>
      </c>
      <c r="AC29" s="200">
        <f>WORKDAY(AA29,1,[2]Hoja1!$A$1:$A$72)</f>
        <v>46317</v>
      </c>
      <c r="AD29" s="201">
        <f t="shared" si="7"/>
        <v>46317</v>
      </c>
      <c r="AE29" s="200">
        <f t="shared" si="8"/>
        <v>46317</v>
      </c>
      <c r="AF29" s="201">
        <f t="shared" si="9"/>
        <v>46317</v>
      </c>
    </row>
    <row r="30" spans="2:32" s="138" customFormat="1" ht="15.95" customHeight="1" x14ac:dyDescent="0.2">
      <c r="B30" s="212">
        <v>68</v>
      </c>
      <c r="C30" s="212">
        <v>12</v>
      </c>
      <c r="D30" s="212" t="s">
        <v>69</v>
      </c>
      <c r="E30" s="213" t="s">
        <v>41</v>
      </c>
      <c r="F30" s="214" t="s">
        <v>31</v>
      </c>
      <c r="G30" s="199">
        <f>WORKDAY(J30,-1,[2]Hoja1!$A$1:$A$72)</f>
        <v>46289</v>
      </c>
      <c r="H30" s="208">
        <v>46230</v>
      </c>
      <c r="I30" s="201">
        <f>+H30</f>
        <v>46230</v>
      </c>
      <c r="J30" s="202">
        <v>46290</v>
      </c>
      <c r="K30" s="201">
        <f t="shared" si="0"/>
        <v>46290</v>
      </c>
      <c r="L30" s="215">
        <f>(J30-H30)</f>
        <v>60</v>
      </c>
      <c r="M30" s="200">
        <f>WORKDAY(J30,1,[2]Hoja1!$A$1:$A$72)</f>
        <v>46293</v>
      </c>
      <c r="N30" s="216">
        <f>+M30</f>
        <v>46293</v>
      </c>
      <c r="O30" s="205">
        <v>46294</v>
      </c>
      <c r="P30" s="201">
        <f>+O30</f>
        <v>46294</v>
      </c>
      <c r="Q30" s="200">
        <f>+O30</f>
        <v>46294</v>
      </c>
      <c r="R30" s="217">
        <f>+Q30</f>
        <v>46294</v>
      </c>
      <c r="S30" s="200">
        <f>WORKDAY(Q30,1,[2]Hoja1!$A$1:$A$72)</f>
        <v>46295</v>
      </c>
      <c r="T30" s="216">
        <f>+S30</f>
        <v>46295</v>
      </c>
      <c r="U30" s="218">
        <f>+S30</f>
        <v>46295</v>
      </c>
      <c r="V30" s="216">
        <f>+U30</f>
        <v>46295</v>
      </c>
      <c r="W30" s="218">
        <f>+U30</f>
        <v>46295</v>
      </c>
      <c r="X30" s="216">
        <f>+W30</f>
        <v>46295</v>
      </c>
      <c r="Y30" s="205">
        <v>46297</v>
      </c>
      <c r="Z30" s="204">
        <f>+Y30</f>
        <v>46297</v>
      </c>
      <c r="AA30" s="200">
        <f>WORKDAY(Y30,23,[2]Hoja1!$A$1:$A$72)</f>
        <v>46332</v>
      </c>
      <c r="AB30" s="216">
        <f>AA30</f>
        <v>46332</v>
      </c>
      <c r="AC30" s="200">
        <f>WORKDAY(AA30,1,[2]Hoja1!$A$1:$A$72)</f>
        <v>46335</v>
      </c>
      <c r="AD30" s="217">
        <f>+AC30</f>
        <v>46335</v>
      </c>
      <c r="AE30" s="218">
        <f>+AC30</f>
        <v>46335</v>
      </c>
      <c r="AF30" s="217">
        <f>+AE30</f>
        <v>46335</v>
      </c>
    </row>
    <row r="31" spans="2:32" s="138" customFormat="1" ht="15.95" customHeight="1" x14ac:dyDescent="0.25">
      <c r="B31" s="219">
        <v>94</v>
      </c>
      <c r="C31" s="220" t="s">
        <v>46</v>
      </c>
      <c r="D31" s="221" t="s">
        <v>47</v>
      </c>
      <c r="E31" s="222" t="s">
        <v>48</v>
      </c>
      <c r="F31" s="214" t="s">
        <v>28</v>
      </c>
      <c r="G31" s="199">
        <f>WORKDAY(J31,-1,[2]Hoja1!$A$1:$A$72)</f>
        <v>46269</v>
      </c>
      <c r="H31" s="218">
        <v>46240</v>
      </c>
      <c r="I31" s="217">
        <v>46240</v>
      </c>
      <c r="J31" s="208">
        <v>46272</v>
      </c>
      <c r="K31" s="201">
        <f t="shared" si="0"/>
        <v>46272</v>
      </c>
      <c r="L31" s="203">
        <f t="shared" si="1"/>
        <v>32</v>
      </c>
      <c r="M31" s="218">
        <f>+J31</f>
        <v>46272</v>
      </c>
      <c r="N31" s="216">
        <f t="shared" si="2"/>
        <v>46272</v>
      </c>
      <c r="O31" s="218">
        <f>+J31</f>
        <v>46272</v>
      </c>
      <c r="P31" s="216">
        <f t="shared" si="3"/>
        <v>46272</v>
      </c>
      <c r="Q31" s="218">
        <f>+J31</f>
        <v>46272</v>
      </c>
      <c r="R31" s="217">
        <f>+Q31</f>
        <v>46272</v>
      </c>
      <c r="S31" s="218">
        <f>+J31</f>
        <v>46272</v>
      </c>
      <c r="T31" s="217">
        <f>+S31</f>
        <v>46272</v>
      </c>
      <c r="U31" s="218">
        <f>+J31</f>
        <v>46272</v>
      </c>
      <c r="V31" s="217">
        <f>+U31</f>
        <v>46272</v>
      </c>
      <c r="W31" s="218">
        <f>+J31</f>
        <v>46272</v>
      </c>
      <c r="X31" s="217">
        <f>+W31</f>
        <v>46272</v>
      </c>
      <c r="Y31" s="218">
        <f>+V31</f>
        <v>46272</v>
      </c>
      <c r="Z31" s="216">
        <f t="shared" si="5"/>
        <v>46272</v>
      </c>
      <c r="AA31" s="218">
        <v>46295</v>
      </c>
      <c r="AB31" s="217">
        <f t="shared" ref="AB31:AB48" si="16">+AA31</f>
        <v>46295</v>
      </c>
      <c r="AC31" s="200">
        <f>WORKDAY(AA31,1,[2]Hoja1!$A$1:$A$72)</f>
        <v>46296</v>
      </c>
      <c r="AD31" s="217">
        <f>+AC31</f>
        <v>46296</v>
      </c>
      <c r="AE31" s="218">
        <f>+AC31</f>
        <v>46296</v>
      </c>
      <c r="AF31" s="217">
        <f>+AE31</f>
        <v>46296</v>
      </c>
    </row>
    <row r="32" spans="2:32" s="138" customFormat="1" ht="15.95" customHeight="1" x14ac:dyDescent="0.25">
      <c r="B32" s="219">
        <v>94</v>
      </c>
      <c r="C32" s="220" t="s">
        <v>49</v>
      </c>
      <c r="D32" s="221" t="s">
        <v>47</v>
      </c>
      <c r="E32" s="222" t="s">
        <v>48</v>
      </c>
      <c r="F32" s="214" t="s">
        <v>28</v>
      </c>
      <c r="G32" s="199">
        <f>WORKDAY(J32,-1,[2]Hoja1!$A$1:$A$72)</f>
        <v>46269</v>
      </c>
      <c r="H32" s="218">
        <v>46240</v>
      </c>
      <c r="I32" s="217">
        <v>46240</v>
      </c>
      <c r="J32" s="208">
        <v>46272</v>
      </c>
      <c r="K32" s="201">
        <f t="shared" si="0"/>
        <v>46272</v>
      </c>
      <c r="L32" s="203">
        <f>(J32-H32)</f>
        <v>32</v>
      </c>
      <c r="M32" s="218">
        <f>+J32</f>
        <v>46272</v>
      </c>
      <c r="N32" s="216">
        <f>+M32</f>
        <v>46272</v>
      </c>
      <c r="O32" s="218">
        <f t="shared" ref="O32:O50" si="17">+J32</f>
        <v>46272</v>
      </c>
      <c r="P32" s="216">
        <f>+O32</f>
        <v>46272</v>
      </c>
      <c r="Q32" s="218">
        <f>+J32</f>
        <v>46272</v>
      </c>
      <c r="R32" s="217">
        <f>+Q32</f>
        <v>46272</v>
      </c>
      <c r="S32" s="218">
        <f>+J32</f>
        <v>46272</v>
      </c>
      <c r="T32" s="217">
        <f>+S32</f>
        <v>46272</v>
      </c>
      <c r="U32" s="218">
        <f>+J32</f>
        <v>46272</v>
      </c>
      <c r="V32" s="217">
        <f>+U32</f>
        <v>46272</v>
      </c>
      <c r="W32" s="218">
        <f>+J32</f>
        <v>46272</v>
      </c>
      <c r="X32" s="217">
        <f>+W32</f>
        <v>46272</v>
      </c>
      <c r="Y32" s="218">
        <f>+V32</f>
        <v>46272</v>
      </c>
      <c r="Z32" s="216">
        <f>+Y32</f>
        <v>46272</v>
      </c>
      <c r="AA32" s="218">
        <v>46295</v>
      </c>
      <c r="AB32" s="217">
        <f>+AA32</f>
        <v>46295</v>
      </c>
      <c r="AC32" s="200">
        <f>WORKDAY(AA32,1,[2]Hoja1!$A$1:$A$72)</f>
        <v>46296</v>
      </c>
      <c r="AD32" s="217">
        <f>+AC32</f>
        <v>46296</v>
      </c>
      <c r="AE32" s="218">
        <f>+AC32</f>
        <v>46296</v>
      </c>
      <c r="AF32" s="217">
        <f>+AE32</f>
        <v>46296</v>
      </c>
    </row>
    <row r="33" spans="2:32" s="138" customFormat="1" ht="15.95" customHeight="1" x14ac:dyDescent="0.25">
      <c r="B33" s="219">
        <v>94</v>
      </c>
      <c r="C33" s="220" t="s">
        <v>50</v>
      </c>
      <c r="D33" s="221" t="s">
        <v>47</v>
      </c>
      <c r="E33" s="222" t="s">
        <v>48</v>
      </c>
      <c r="F33" s="214" t="s">
        <v>28</v>
      </c>
      <c r="G33" s="199">
        <f>WORKDAY(J33,-1,[2]Hoja1!$A$1:$A$72)</f>
        <v>46269</v>
      </c>
      <c r="H33" s="218">
        <v>46240</v>
      </c>
      <c r="I33" s="217">
        <v>46240</v>
      </c>
      <c r="J33" s="208">
        <v>46272</v>
      </c>
      <c r="K33" s="201">
        <f t="shared" si="0"/>
        <v>46272</v>
      </c>
      <c r="L33" s="203">
        <f>(J33-H33)</f>
        <v>32</v>
      </c>
      <c r="M33" s="218">
        <f>+J33</f>
        <v>46272</v>
      </c>
      <c r="N33" s="216">
        <f>+M33</f>
        <v>46272</v>
      </c>
      <c r="O33" s="218">
        <f t="shared" si="17"/>
        <v>46272</v>
      </c>
      <c r="P33" s="216">
        <f>+O33</f>
        <v>46272</v>
      </c>
      <c r="Q33" s="218">
        <f>+J33</f>
        <v>46272</v>
      </c>
      <c r="R33" s="217">
        <f>+Q33</f>
        <v>46272</v>
      </c>
      <c r="S33" s="218">
        <f>+J33</f>
        <v>46272</v>
      </c>
      <c r="T33" s="217">
        <f>+S33</f>
        <v>46272</v>
      </c>
      <c r="U33" s="218">
        <f>+J33</f>
        <v>46272</v>
      </c>
      <c r="V33" s="217">
        <f>+U33</f>
        <v>46272</v>
      </c>
      <c r="W33" s="218">
        <f>+J33</f>
        <v>46272</v>
      </c>
      <c r="X33" s="217">
        <f>+W33</f>
        <v>46272</v>
      </c>
      <c r="Y33" s="218">
        <f>+V33</f>
        <v>46272</v>
      </c>
      <c r="Z33" s="216">
        <f>+Y33</f>
        <v>46272</v>
      </c>
      <c r="AA33" s="218">
        <v>46295</v>
      </c>
      <c r="AB33" s="217">
        <f>+AA33</f>
        <v>46295</v>
      </c>
      <c r="AC33" s="200">
        <f>WORKDAY(AA33,1,[2]Hoja1!$A$1:$A$72)</f>
        <v>46296</v>
      </c>
      <c r="AD33" s="217">
        <f>+AC33</f>
        <v>46296</v>
      </c>
      <c r="AE33" s="218">
        <f>+AC33</f>
        <v>46296</v>
      </c>
      <c r="AF33" s="217">
        <f>+AE33</f>
        <v>46296</v>
      </c>
    </row>
    <row r="34" spans="2:32" s="138" customFormat="1" ht="15.95" customHeight="1" x14ac:dyDescent="0.25">
      <c r="B34" s="219">
        <v>87</v>
      </c>
      <c r="C34" s="221">
        <v>11</v>
      </c>
      <c r="D34" s="221" t="s">
        <v>92</v>
      </c>
      <c r="E34" s="222" t="s">
        <v>52</v>
      </c>
      <c r="F34" s="214" t="s">
        <v>28</v>
      </c>
      <c r="G34" s="199">
        <f>WORKDAY(J34,-1,[2]Hoja1!$A$1:$A$72)</f>
        <v>46274</v>
      </c>
      <c r="H34" s="218">
        <v>46244</v>
      </c>
      <c r="I34" s="217">
        <v>46244</v>
      </c>
      <c r="J34" s="208">
        <v>46275</v>
      </c>
      <c r="K34" s="201">
        <f t="shared" si="0"/>
        <v>46275</v>
      </c>
      <c r="L34" s="215">
        <f t="shared" si="1"/>
        <v>31</v>
      </c>
      <c r="M34" s="218">
        <f t="shared" ref="M34:M48" si="18">+J34</f>
        <v>46275</v>
      </c>
      <c r="N34" s="216">
        <f t="shared" si="2"/>
        <v>46275</v>
      </c>
      <c r="O34" s="218">
        <f t="shared" si="17"/>
        <v>46275</v>
      </c>
      <c r="P34" s="216">
        <f>+O34</f>
        <v>46275</v>
      </c>
      <c r="Q34" s="218">
        <f t="shared" ref="Q34:Q48" si="19">+J34</f>
        <v>46275</v>
      </c>
      <c r="R34" s="217">
        <f t="shared" ref="R34:R48" si="20">+Q34</f>
        <v>46275</v>
      </c>
      <c r="S34" s="218">
        <f t="shared" ref="S34:S48" si="21">+J34</f>
        <v>46275</v>
      </c>
      <c r="T34" s="217">
        <f t="shared" ref="T34:T48" si="22">+S34</f>
        <v>46275</v>
      </c>
      <c r="U34" s="218">
        <f t="shared" ref="U34:U48" si="23">+J34</f>
        <v>46275</v>
      </c>
      <c r="V34" s="217">
        <f t="shared" ref="V34:V48" si="24">+U34</f>
        <v>46275</v>
      </c>
      <c r="W34" s="218">
        <f t="shared" ref="W34:W48" si="25">+J34</f>
        <v>46275</v>
      </c>
      <c r="X34" s="217">
        <f t="shared" ref="X34:X48" si="26">+W34</f>
        <v>46275</v>
      </c>
      <c r="Y34" s="218">
        <f t="shared" ref="Y34:Y50" si="27">+V34</f>
        <v>46275</v>
      </c>
      <c r="Z34" s="216">
        <f t="shared" ref="Z34:Z48" si="28">+Y34</f>
        <v>46275</v>
      </c>
      <c r="AA34" s="218">
        <v>46282</v>
      </c>
      <c r="AB34" s="217">
        <f t="shared" si="16"/>
        <v>46282</v>
      </c>
      <c r="AC34" s="200">
        <f>WORKDAY(AA34,1,[2]Hoja1!$A$1:$A$72)</f>
        <v>46283</v>
      </c>
      <c r="AD34" s="217">
        <f t="shared" ref="AD34:AD48" si="29">+AC34</f>
        <v>46283</v>
      </c>
      <c r="AE34" s="218">
        <f t="shared" ref="AE34:AE48" si="30">+AC34</f>
        <v>46283</v>
      </c>
      <c r="AF34" s="217">
        <f t="shared" ref="AF34:AF48" si="31">+AE34</f>
        <v>46283</v>
      </c>
    </row>
    <row r="35" spans="2:32" s="138" customFormat="1" ht="15.95" customHeight="1" x14ac:dyDescent="0.25">
      <c r="B35" s="219">
        <v>91</v>
      </c>
      <c r="C35" s="221">
        <v>11</v>
      </c>
      <c r="D35" s="221" t="s">
        <v>53</v>
      </c>
      <c r="E35" s="222" t="s">
        <v>54</v>
      </c>
      <c r="F35" s="214" t="s">
        <v>28</v>
      </c>
      <c r="G35" s="199">
        <f>WORKDAY(J35,-1,[2]Hoja1!$A$1:$A$72)</f>
        <v>46274</v>
      </c>
      <c r="H35" s="218">
        <v>46244</v>
      </c>
      <c r="I35" s="217">
        <v>46244</v>
      </c>
      <c r="J35" s="208">
        <v>46275</v>
      </c>
      <c r="K35" s="201">
        <f t="shared" si="0"/>
        <v>46275</v>
      </c>
      <c r="L35" s="215">
        <f t="shared" si="1"/>
        <v>31</v>
      </c>
      <c r="M35" s="218">
        <f t="shared" si="18"/>
        <v>46275</v>
      </c>
      <c r="N35" s="216">
        <f t="shared" si="2"/>
        <v>46275</v>
      </c>
      <c r="O35" s="218">
        <f t="shared" si="17"/>
        <v>46275</v>
      </c>
      <c r="P35" s="216">
        <f>+O35</f>
        <v>46275</v>
      </c>
      <c r="Q35" s="218">
        <f t="shared" si="19"/>
        <v>46275</v>
      </c>
      <c r="R35" s="217">
        <f t="shared" si="20"/>
        <v>46275</v>
      </c>
      <c r="S35" s="218">
        <f t="shared" si="21"/>
        <v>46275</v>
      </c>
      <c r="T35" s="217">
        <f t="shared" si="22"/>
        <v>46275</v>
      </c>
      <c r="U35" s="218">
        <f t="shared" si="23"/>
        <v>46275</v>
      </c>
      <c r="V35" s="217">
        <f t="shared" si="24"/>
        <v>46275</v>
      </c>
      <c r="W35" s="218">
        <f t="shared" si="25"/>
        <v>46275</v>
      </c>
      <c r="X35" s="217">
        <f t="shared" si="26"/>
        <v>46275</v>
      </c>
      <c r="Y35" s="218">
        <f t="shared" si="27"/>
        <v>46275</v>
      </c>
      <c r="Z35" s="216">
        <f t="shared" si="28"/>
        <v>46275</v>
      </c>
      <c r="AA35" s="218">
        <v>46282</v>
      </c>
      <c r="AB35" s="217">
        <f t="shared" si="16"/>
        <v>46282</v>
      </c>
      <c r="AC35" s="200">
        <f>WORKDAY(AA35,1,[2]Hoja1!$A$1:$A$72)</f>
        <v>46283</v>
      </c>
      <c r="AD35" s="217">
        <f t="shared" si="29"/>
        <v>46283</v>
      </c>
      <c r="AE35" s="218">
        <f t="shared" si="30"/>
        <v>46283</v>
      </c>
      <c r="AF35" s="217">
        <f t="shared" si="31"/>
        <v>46283</v>
      </c>
    </row>
    <row r="36" spans="2:32" s="138" customFormat="1" ht="15.95" customHeight="1" x14ac:dyDescent="0.25">
      <c r="B36" s="219">
        <v>75</v>
      </c>
      <c r="C36" s="221">
        <v>11</v>
      </c>
      <c r="D36" s="221" t="s">
        <v>47</v>
      </c>
      <c r="E36" s="222" t="s">
        <v>55</v>
      </c>
      <c r="F36" s="214" t="s">
        <v>28</v>
      </c>
      <c r="G36" s="199">
        <f>WORKDAY(J36,-1,[2]Hoja1!$A$1:$A$72)</f>
        <v>46276</v>
      </c>
      <c r="H36" s="218">
        <v>46247</v>
      </c>
      <c r="I36" s="217">
        <v>46247</v>
      </c>
      <c r="J36" s="208">
        <v>46279</v>
      </c>
      <c r="K36" s="201">
        <f t="shared" si="0"/>
        <v>46279</v>
      </c>
      <c r="L36" s="215">
        <f t="shared" si="1"/>
        <v>32</v>
      </c>
      <c r="M36" s="218">
        <f t="shared" si="18"/>
        <v>46279</v>
      </c>
      <c r="N36" s="216">
        <f t="shared" si="2"/>
        <v>46279</v>
      </c>
      <c r="O36" s="218">
        <f t="shared" si="17"/>
        <v>46279</v>
      </c>
      <c r="P36" s="216">
        <f t="shared" si="3"/>
        <v>46279</v>
      </c>
      <c r="Q36" s="218">
        <f t="shared" si="19"/>
        <v>46279</v>
      </c>
      <c r="R36" s="217">
        <f t="shared" si="20"/>
        <v>46279</v>
      </c>
      <c r="S36" s="218">
        <f t="shared" si="21"/>
        <v>46279</v>
      </c>
      <c r="T36" s="217">
        <f t="shared" si="22"/>
        <v>46279</v>
      </c>
      <c r="U36" s="218">
        <f t="shared" si="23"/>
        <v>46279</v>
      </c>
      <c r="V36" s="217">
        <f t="shared" si="24"/>
        <v>46279</v>
      </c>
      <c r="W36" s="218">
        <f t="shared" si="25"/>
        <v>46279</v>
      </c>
      <c r="X36" s="217">
        <f t="shared" si="26"/>
        <v>46279</v>
      </c>
      <c r="Y36" s="218">
        <f t="shared" si="27"/>
        <v>46279</v>
      </c>
      <c r="Z36" s="216">
        <f t="shared" si="28"/>
        <v>46279</v>
      </c>
      <c r="AA36" s="218">
        <v>46296</v>
      </c>
      <c r="AB36" s="217">
        <f t="shared" si="16"/>
        <v>46296</v>
      </c>
      <c r="AC36" s="200">
        <f>WORKDAY(AA36,1,[2]Hoja1!$A$1:$A$72)</f>
        <v>46297</v>
      </c>
      <c r="AD36" s="217">
        <f t="shared" si="29"/>
        <v>46297</v>
      </c>
      <c r="AE36" s="218">
        <f t="shared" si="30"/>
        <v>46297</v>
      </c>
      <c r="AF36" s="217">
        <f t="shared" si="31"/>
        <v>46297</v>
      </c>
    </row>
    <row r="37" spans="2:32" s="138" customFormat="1" ht="15.95" customHeight="1" x14ac:dyDescent="0.25">
      <c r="B37" s="219">
        <v>76</v>
      </c>
      <c r="C37" s="221">
        <v>11</v>
      </c>
      <c r="D37" s="221" t="s">
        <v>56</v>
      </c>
      <c r="E37" s="222" t="s">
        <v>55</v>
      </c>
      <c r="F37" s="214" t="s">
        <v>28</v>
      </c>
      <c r="G37" s="199">
        <f>WORKDAY(J37,-1,[2]Hoja1!$A$1:$A$72)</f>
        <v>46276</v>
      </c>
      <c r="H37" s="218">
        <v>46247</v>
      </c>
      <c r="I37" s="217">
        <v>46247</v>
      </c>
      <c r="J37" s="208">
        <v>46279</v>
      </c>
      <c r="K37" s="201">
        <f t="shared" si="0"/>
        <v>46279</v>
      </c>
      <c r="L37" s="215">
        <f t="shared" si="1"/>
        <v>32</v>
      </c>
      <c r="M37" s="218">
        <f t="shared" si="18"/>
        <v>46279</v>
      </c>
      <c r="N37" s="216">
        <f t="shared" si="2"/>
        <v>46279</v>
      </c>
      <c r="O37" s="218">
        <f t="shared" si="17"/>
        <v>46279</v>
      </c>
      <c r="P37" s="216">
        <f t="shared" si="3"/>
        <v>46279</v>
      </c>
      <c r="Q37" s="218">
        <f t="shared" si="19"/>
        <v>46279</v>
      </c>
      <c r="R37" s="217">
        <f t="shared" si="20"/>
        <v>46279</v>
      </c>
      <c r="S37" s="218">
        <f t="shared" si="21"/>
        <v>46279</v>
      </c>
      <c r="T37" s="217">
        <f t="shared" si="22"/>
        <v>46279</v>
      </c>
      <c r="U37" s="218">
        <f t="shared" si="23"/>
        <v>46279</v>
      </c>
      <c r="V37" s="217">
        <f t="shared" si="24"/>
        <v>46279</v>
      </c>
      <c r="W37" s="218">
        <f t="shared" si="25"/>
        <v>46279</v>
      </c>
      <c r="X37" s="217">
        <f t="shared" si="26"/>
        <v>46279</v>
      </c>
      <c r="Y37" s="218">
        <f t="shared" si="27"/>
        <v>46279</v>
      </c>
      <c r="Z37" s="216">
        <f t="shared" si="28"/>
        <v>46279</v>
      </c>
      <c r="AA37" s="218">
        <v>46296</v>
      </c>
      <c r="AB37" s="217">
        <f t="shared" si="16"/>
        <v>46296</v>
      </c>
      <c r="AC37" s="200">
        <f>WORKDAY(AA37,1,[2]Hoja1!$A$1:$A$72)</f>
        <v>46297</v>
      </c>
      <c r="AD37" s="217">
        <f t="shared" si="29"/>
        <v>46297</v>
      </c>
      <c r="AE37" s="218">
        <f t="shared" si="30"/>
        <v>46297</v>
      </c>
      <c r="AF37" s="217">
        <f t="shared" si="31"/>
        <v>46297</v>
      </c>
    </row>
    <row r="38" spans="2:32" s="138" customFormat="1" ht="15.95" customHeight="1" x14ac:dyDescent="0.25">
      <c r="B38" s="219">
        <v>92</v>
      </c>
      <c r="C38" s="221">
        <v>11</v>
      </c>
      <c r="D38" s="221" t="s">
        <v>92</v>
      </c>
      <c r="E38" s="222" t="s">
        <v>59</v>
      </c>
      <c r="F38" s="214" t="s">
        <v>28</v>
      </c>
      <c r="G38" s="199">
        <f>WORKDAY(J38,-1,[2]Hoja1!$A$1:$A$72)</f>
        <v>46279</v>
      </c>
      <c r="H38" s="218">
        <v>46252</v>
      </c>
      <c r="I38" s="217">
        <v>46252</v>
      </c>
      <c r="J38" s="208">
        <v>46280</v>
      </c>
      <c r="K38" s="201">
        <f t="shared" si="0"/>
        <v>46280</v>
      </c>
      <c r="L38" s="215">
        <f t="shared" si="1"/>
        <v>28</v>
      </c>
      <c r="M38" s="218">
        <f t="shared" si="18"/>
        <v>46280</v>
      </c>
      <c r="N38" s="216">
        <f t="shared" si="2"/>
        <v>46280</v>
      </c>
      <c r="O38" s="218">
        <f t="shared" si="17"/>
        <v>46280</v>
      </c>
      <c r="P38" s="216">
        <f t="shared" si="3"/>
        <v>46280</v>
      </c>
      <c r="Q38" s="218">
        <f t="shared" si="19"/>
        <v>46280</v>
      </c>
      <c r="R38" s="217">
        <f t="shared" si="20"/>
        <v>46280</v>
      </c>
      <c r="S38" s="218">
        <f t="shared" si="21"/>
        <v>46280</v>
      </c>
      <c r="T38" s="217">
        <f t="shared" si="22"/>
        <v>46280</v>
      </c>
      <c r="U38" s="218">
        <f t="shared" si="23"/>
        <v>46280</v>
      </c>
      <c r="V38" s="217">
        <f t="shared" si="24"/>
        <v>46280</v>
      </c>
      <c r="W38" s="218">
        <f t="shared" si="25"/>
        <v>46280</v>
      </c>
      <c r="X38" s="217">
        <f t="shared" si="26"/>
        <v>46280</v>
      </c>
      <c r="Y38" s="218">
        <f t="shared" si="27"/>
        <v>46280</v>
      </c>
      <c r="Z38" s="216">
        <f t="shared" si="28"/>
        <v>46280</v>
      </c>
      <c r="AA38" s="218">
        <v>46287</v>
      </c>
      <c r="AB38" s="217">
        <f t="shared" si="16"/>
        <v>46287</v>
      </c>
      <c r="AC38" s="200">
        <f>WORKDAY(AA38,1,[2]Hoja1!$A$1:$A$72)</f>
        <v>46288</v>
      </c>
      <c r="AD38" s="217">
        <f t="shared" si="29"/>
        <v>46288</v>
      </c>
      <c r="AE38" s="218">
        <f t="shared" si="30"/>
        <v>46288</v>
      </c>
      <c r="AF38" s="217">
        <f t="shared" si="31"/>
        <v>46288</v>
      </c>
    </row>
    <row r="39" spans="2:32" s="138" customFormat="1" ht="15.95" customHeight="1" x14ac:dyDescent="0.25">
      <c r="B39" s="219">
        <v>93</v>
      </c>
      <c r="C39" s="221">
        <v>11</v>
      </c>
      <c r="D39" s="221" t="s">
        <v>60</v>
      </c>
      <c r="E39" s="222" t="s">
        <v>61</v>
      </c>
      <c r="F39" s="214" t="s">
        <v>28</v>
      </c>
      <c r="G39" s="199">
        <f>WORKDAY(J39,-1,[2]Hoja1!$A$1:$A$72)</f>
        <v>46279</v>
      </c>
      <c r="H39" s="218">
        <v>46248</v>
      </c>
      <c r="I39" s="217">
        <v>46248</v>
      </c>
      <c r="J39" s="208">
        <v>46280</v>
      </c>
      <c r="K39" s="201">
        <f t="shared" si="0"/>
        <v>46280</v>
      </c>
      <c r="L39" s="215">
        <f t="shared" si="1"/>
        <v>32</v>
      </c>
      <c r="M39" s="218">
        <f t="shared" si="18"/>
        <v>46280</v>
      </c>
      <c r="N39" s="216">
        <f t="shared" si="2"/>
        <v>46280</v>
      </c>
      <c r="O39" s="218">
        <f t="shared" si="17"/>
        <v>46280</v>
      </c>
      <c r="P39" s="216">
        <f t="shared" si="3"/>
        <v>46280</v>
      </c>
      <c r="Q39" s="218">
        <f t="shared" si="19"/>
        <v>46280</v>
      </c>
      <c r="R39" s="217">
        <f t="shared" si="20"/>
        <v>46280</v>
      </c>
      <c r="S39" s="218">
        <f t="shared" si="21"/>
        <v>46280</v>
      </c>
      <c r="T39" s="217">
        <f t="shared" si="22"/>
        <v>46280</v>
      </c>
      <c r="U39" s="218">
        <f t="shared" si="23"/>
        <v>46280</v>
      </c>
      <c r="V39" s="217">
        <f t="shared" si="24"/>
        <v>46280</v>
      </c>
      <c r="W39" s="218">
        <f t="shared" si="25"/>
        <v>46280</v>
      </c>
      <c r="X39" s="217">
        <f t="shared" si="26"/>
        <v>46280</v>
      </c>
      <c r="Y39" s="218">
        <f t="shared" si="27"/>
        <v>46280</v>
      </c>
      <c r="Z39" s="216">
        <f t="shared" si="28"/>
        <v>46280</v>
      </c>
      <c r="AA39" s="218">
        <v>46304</v>
      </c>
      <c r="AB39" s="217">
        <f t="shared" si="16"/>
        <v>46304</v>
      </c>
      <c r="AC39" s="200">
        <f>WORKDAY(AA39,1,[2]Hoja1!$A$1:$A$72)</f>
        <v>46308</v>
      </c>
      <c r="AD39" s="217">
        <f t="shared" si="29"/>
        <v>46308</v>
      </c>
      <c r="AE39" s="218">
        <f t="shared" si="30"/>
        <v>46308</v>
      </c>
      <c r="AF39" s="217">
        <f t="shared" si="31"/>
        <v>46308</v>
      </c>
    </row>
    <row r="40" spans="2:32" s="138" customFormat="1" ht="15.95" customHeight="1" x14ac:dyDescent="0.25">
      <c r="B40" s="219">
        <v>89</v>
      </c>
      <c r="C40" s="221">
        <v>11</v>
      </c>
      <c r="D40" s="221" t="s">
        <v>47</v>
      </c>
      <c r="E40" s="222" t="s">
        <v>62</v>
      </c>
      <c r="F40" s="214" t="s">
        <v>28</v>
      </c>
      <c r="G40" s="199">
        <f>WORKDAY(J40,-1,[2]Hoja1!$A$1:$A$72)</f>
        <v>46280</v>
      </c>
      <c r="H40" s="218">
        <v>46252</v>
      </c>
      <c r="I40" s="217">
        <v>46252</v>
      </c>
      <c r="J40" s="208">
        <v>46281</v>
      </c>
      <c r="K40" s="201">
        <f t="shared" si="0"/>
        <v>46281</v>
      </c>
      <c r="L40" s="215">
        <f t="shared" si="1"/>
        <v>29</v>
      </c>
      <c r="M40" s="218">
        <f t="shared" si="18"/>
        <v>46281</v>
      </c>
      <c r="N40" s="216">
        <f t="shared" si="2"/>
        <v>46281</v>
      </c>
      <c r="O40" s="218">
        <f t="shared" si="17"/>
        <v>46281</v>
      </c>
      <c r="P40" s="216">
        <f t="shared" si="3"/>
        <v>46281</v>
      </c>
      <c r="Q40" s="218">
        <f t="shared" si="19"/>
        <v>46281</v>
      </c>
      <c r="R40" s="217">
        <f t="shared" si="20"/>
        <v>46281</v>
      </c>
      <c r="S40" s="218">
        <f t="shared" si="21"/>
        <v>46281</v>
      </c>
      <c r="T40" s="217">
        <f t="shared" si="22"/>
        <v>46281</v>
      </c>
      <c r="U40" s="218">
        <f t="shared" si="23"/>
        <v>46281</v>
      </c>
      <c r="V40" s="217">
        <f t="shared" si="24"/>
        <v>46281</v>
      </c>
      <c r="W40" s="218">
        <f t="shared" si="25"/>
        <v>46281</v>
      </c>
      <c r="X40" s="217">
        <f t="shared" si="26"/>
        <v>46281</v>
      </c>
      <c r="Y40" s="218">
        <f t="shared" si="27"/>
        <v>46281</v>
      </c>
      <c r="Z40" s="216">
        <f t="shared" si="28"/>
        <v>46281</v>
      </c>
      <c r="AA40" s="218">
        <v>46304</v>
      </c>
      <c r="AB40" s="217">
        <f t="shared" si="16"/>
        <v>46304</v>
      </c>
      <c r="AC40" s="200">
        <f>WORKDAY(AA40,1,[2]Hoja1!$A$1:$A$72)</f>
        <v>46308</v>
      </c>
      <c r="AD40" s="217">
        <f t="shared" si="29"/>
        <v>46308</v>
      </c>
      <c r="AE40" s="218">
        <f t="shared" si="30"/>
        <v>46308</v>
      </c>
      <c r="AF40" s="217">
        <f t="shared" si="31"/>
        <v>46308</v>
      </c>
    </row>
    <row r="41" spans="2:32" s="138" customFormat="1" ht="15.95" customHeight="1" x14ac:dyDescent="0.25">
      <c r="B41" s="219">
        <v>81</v>
      </c>
      <c r="C41" s="221">
        <v>11</v>
      </c>
      <c r="D41" s="221" t="s">
        <v>73</v>
      </c>
      <c r="E41" s="222" t="s">
        <v>63</v>
      </c>
      <c r="F41" s="214" t="s">
        <v>28</v>
      </c>
      <c r="G41" s="199">
        <f>+J41</f>
        <v>46286</v>
      </c>
      <c r="H41" s="218">
        <v>46255</v>
      </c>
      <c r="I41" s="217">
        <v>46255</v>
      </c>
      <c r="J41" s="202">
        <v>46286</v>
      </c>
      <c r="K41" s="201">
        <f t="shared" si="0"/>
        <v>46286</v>
      </c>
      <c r="L41" s="215">
        <f t="shared" si="1"/>
        <v>31</v>
      </c>
      <c r="M41" s="218">
        <f t="shared" si="18"/>
        <v>46286</v>
      </c>
      <c r="N41" s="216">
        <f t="shared" si="2"/>
        <v>46286</v>
      </c>
      <c r="O41" s="218">
        <f t="shared" si="17"/>
        <v>46286</v>
      </c>
      <c r="P41" s="216">
        <f t="shared" si="3"/>
        <v>46286</v>
      </c>
      <c r="Q41" s="218">
        <f t="shared" si="19"/>
        <v>46286</v>
      </c>
      <c r="R41" s="217">
        <f t="shared" si="20"/>
        <v>46286</v>
      </c>
      <c r="S41" s="218">
        <f t="shared" si="21"/>
        <v>46286</v>
      </c>
      <c r="T41" s="217">
        <f t="shared" si="22"/>
        <v>46286</v>
      </c>
      <c r="U41" s="218">
        <f t="shared" si="23"/>
        <v>46286</v>
      </c>
      <c r="V41" s="217">
        <f t="shared" si="24"/>
        <v>46286</v>
      </c>
      <c r="W41" s="218">
        <f t="shared" si="25"/>
        <v>46286</v>
      </c>
      <c r="X41" s="217">
        <f t="shared" si="26"/>
        <v>46286</v>
      </c>
      <c r="Y41" s="218">
        <f t="shared" si="27"/>
        <v>46286</v>
      </c>
      <c r="Z41" s="216">
        <f t="shared" si="28"/>
        <v>46286</v>
      </c>
      <c r="AA41" s="218">
        <v>46314</v>
      </c>
      <c r="AB41" s="217">
        <f>+AA41</f>
        <v>46314</v>
      </c>
      <c r="AC41" s="200">
        <f>WORKDAY(AA41,1,[2]Hoja1!$A$1:$A$72)</f>
        <v>46315</v>
      </c>
      <c r="AD41" s="217">
        <f t="shared" si="29"/>
        <v>46315</v>
      </c>
      <c r="AE41" s="218">
        <f t="shared" si="30"/>
        <v>46315</v>
      </c>
      <c r="AF41" s="217">
        <f t="shared" si="31"/>
        <v>46315</v>
      </c>
    </row>
    <row r="42" spans="2:32" s="138" customFormat="1" ht="15.95" customHeight="1" x14ac:dyDescent="0.25">
      <c r="B42" s="219">
        <v>79</v>
      </c>
      <c r="C42" s="221">
        <v>11</v>
      </c>
      <c r="D42" s="221" t="s">
        <v>47</v>
      </c>
      <c r="E42" s="222" t="s">
        <v>64</v>
      </c>
      <c r="F42" s="214" t="s">
        <v>28</v>
      </c>
      <c r="G42" s="199">
        <f>WORKDAY(J42,-1,[2]Hoja1!$A$1:$A$72)</f>
        <v>46288</v>
      </c>
      <c r="H42" s="218">
        <v>46258</v>
      </c>
      <c r="I42" s="217">
        <v>46258</v>
      </c>
      <c r="J42" s="208">
        <v>46289</v>
      </c>
      <c r="K42" s="201">
        <f t="shared" si="0"/>
        <v>46289</v>
      </c>
      <c r="L42" s="215">
        <f t="shared" si="1"/>
        <v>31</v>
      </c>
      <c r="M42" s="218">
        <f t="shared" si="18"/>
        <v>46289</v>
      </c>
      <c r="N42" s="216">
        <f t="shared" si="2"/>
        <v>46289</v>
      </c>
      <c r="O42" s="218">
        <f t="shared" si="17"/>
        <v>46289</v>
      </c>
      <c r="P42" s="216">
        <f t="shared" si="3"/>
        <v>46289</v>
      </c>
      <c r="Q42" s="218">
        <f t="shared" si="19"/>
        <v>46289</v>
      </c>
      <c r="R42" s="217">
        <f t="shared" si="20"/>
        <v>46289</v>
      </c>
      <c r="S42" s="218">
        <f t="shared" si="21"/>
        <v>46289</v>
      </c>
      <c r="T42" s="217">
        <f t="shared" si="22"/>
        <v>46289</v>
      </c>
      <c r="U42" s="218">
        <f t="shared" si="23"/>
        <v>46289</v>
      </c>
      <c r="V42" s="217">
        <f t="shared" si="24"/>
        <v>46289</v>
      </c>
      <c r="W42" s="218">
        <f t="shared" si="25"/>
        <v>46289</v>
      </c>
      <c r="X42" s="217">
        <f t="shared" si="26"/>
        <v>46289</v>
      </c>
      <c r="Y42" s="218">
        <f t="shared" si="27"/>
        <v>46289</v>
      </c>
      <c r="Z42" s="216">
        <f t="shared" si="28"/>
        <v>46289</v>
      </c>
      <c r="AA42" s="218">
        <v>46314</v>
      </c>
      <c r="AB42" s="217">
        <f t="shared" si="16"/>
        <v>46314</v>
      </c>
      <c r="AC42" s="200">
        <f>WORKDAY(AA42,1,[2]Hoja1!$A$1:$A$72)</f>
        <v>46315</v>
      </c>
      <c r="AD42" s="217">
        <f t="shared" si="29"/>
        <v>46315</v>
      </c>
      <c r="AE42" s="218">
        <f t="shared" si="30"/>
        <v>46315</v>
      </c>
      <c r="AF42" s="217">
        <f t="shared" si="31"/>
        <v>46315</v>
      </c>
    </row>
    <row r="43" spans="2:32" s="138" customFormat="1" ht="15.95" customHeight="1" x14ac:dyDescent="0.25">
      <c r="B43" s="219">
        <v>79</v>
      </c>
      <c r="C43" s="221">
        <v>12</v>
      </c>
      <c r="D43" s="221" t="s">
        <v>47</v>
      </c>
      <c r="E43" s="222" t="s">
        <v>64</v>
      </c>
      <c r="F43" s="214" t="s">
        <v>28</v>
      </c>
      <c r="G43" s="199">
        <f>WORKDAY(J43,-1,[2]Hoja1!$A$1:$A$72)</f>
        <v>46288</v>
      </c>
      <c r="H43" s="218">
        <v>46258</v>
      </c>
      <c r="I43" s="217">
        <v>46258</v>
      </c>
      <c r="J43" s="208">
        <v>46289</v>
      </c>
      <c r="K43" s="201">
        <f>+J43</f>
        <v>46289</v>
      </c>
      <c r="L43" s="215">
        <f>(J43-H43)</f>
        <v>31</v>
      </c>
      <c r="M43" s="218">
        <f>+J43</f>
        <v>46289</v>
      </c>
      <c r="N43" s="216">
        <f>+M43</f>
        <v>46289</v>
      </c>
      <c r="O43" s="218">
        <f>+J43</f>
        <v>46289</v>
      </c>
      <c r="P43" s="216">
        <f>+O43</f>
        <v>46289</v>
      </c>
      <c r="Q43" s="218">
        <f>+J43</f>
        <v>46289</v>
      </c>
      <c r="R43" s="217">
        <f>+Q43</f>
        <v>46289</v>
      </c>
      <c r="S43" s="218">
        <f>+J43</f>
        <v>46289</v>
      </c>
      <c r="T43" s="217">
        <f>+S43</f>
        <v>46289</v>
      </c>
      <c r="U43" s="218">
        <f>+J43</f>
        <v>46289</v>
      </c>
      <c r="V43" s="217">
        <f>+U43</f>
        <v>46289</v>
      </c>
      <c r="W43" s="218">
        <f>+J43</f>
        <v>46289</v>
      </c>
      <c r="X43" s="217">
        <f>+W43</f>
        <v>46289</v>
      </c>
      <c r="Y43" s="218">
        <f>+V43</f>
        <v>46289</v>
      </c>
      <c r="Z43" s="216">
        <f>+Y43</f>
        <v>46289</v>
      </c>
      <c r="AA43" s="218">
        <v>46314</v>
      </c>
      <c r="AB43" s="217">
        <f>+AA43</f>
        <v>46314</v>
      </c>
      <c r="AC43" s="200">
        <f>WORKDAY(AA43,1,[2]Hoja1!$A$1:$A$72)</f>
        <v>46315</v>
      </c>
      <c r="AD43" s="217">
        <f>+AC43</f>
        <v>46315</v>
      </c>
      <c r="AE43" s="218">
        <f>+AC43</f>
        <v>46315</v>
      </c>
      <c r="AF43" s="217">
        <f>+AE43</f>
        <v>46315</v>
      </c>
    </row>
    <row r="44" spans="2:32" s="138" customFormat="1" ht="15.95" customHeight="1" x14ac:dyDescent="0.25">
      <c r="B44" s="219">
        <v>79</v>
      </c>
      <c r="C44" s="221">
        <v>13</v>
      </c>
      <c r="D44" s="221" t="s">
        <v>47</v>
      </c>
      <c r="E44" s="222" t="s">
        <v>64</v>
      </c>
      <c r="F44" s="214" t="s">
        <v>28</v>
      </c>
      <c r="G44" s="199">
        <f>WORKDAY(J44,-1,[2]Hoja1!$A$1:$A$72)</f>
        <v>46288</v>
      </c>
      <c r="H44" s="218">
        <v>46258</v>
      </c>
      <c r="I44" s="217">
        <v>46258</v>
      </c>
      <c r="J44" s="208">
        <v>46289</v>
      </c>
      <c r="K44" s="201">
        <f>+J44</f>
        <v>46289</v>
      </c>
      <c r="L44" s="215">
        <f>(J44-H44)</f>
        <v>31</v>
      </c>
      <c r="M44" s="218">
        <f>+J44</f>
        <v>46289</v>
      </c>
      <c r="N44" s="216">
        <f>+M44</f>
        <v>46289</v>
      </c>
      <c r="O44" s="218">
        <f>+J44</f>
        <v>46289</v>
      </c>
      <c r="P44" s="216">
        <f>+O44</f>
        <v>46289</v>
      </c>
      <c r="Q44" s="218">
        <f>+J44</f>
        <v>46289</v>
      </c>
      <c r="R44" s="217">
        <f>+Q44</f>
        <v>46289</v>
      </c>
      <c r="S44" s="218">
        <f>+J44</f>
        <v>46289</v>
      </c>
      <c r="T44" s="217">
        <f>+S44</f>
        <v>46289</v>
      </c>
      <c r="U44" s="218">
        <f>+J44</f>
        <v>46289</v>
      </c>
      <c r="V44" s="217">
        <f>+U44</f>
        <v>46289</v>
      </c>
      <c r="W44" s="218">
        <f>+J44</f>
        <v>46289</v>
      </c>
      <c r="X44" s="217">
        <f>+W44</f>
        <v>46289</v>
      </c>
      <c r="Y44" s="218">
        <f>+V44</f>
        <v>46289</v>
      </c>
      <c r="Z44" s="216">
        <f>+Y44</f>
        <v>46289</v>
      </c>
      <c r="AA44" s="218">
        <v>46314</v>
      </c>
      <c r="AB44" s="217">
        <f>+AA44</f>
        <v>46314</v>
      </c>
      <c r="AC44" s="200">
        <f>WORKDAY(AA44,1,[2]Hoja1!$A$1:$A$72)</f>
        <v>46315</v>
      </c>
      <c r="AD44" s="217">
        <f>+AC44</f>
        <v>46315</v>
      </c>
      <c r="AE44" s="218">
        <f>+AC44</f>
        <v>46315</v>
      </c>
      <c r="AF44" s="217">
        <f>+AE44</f>
        <v>46315</v>
      </c>
    </row>
    <row r="45" spans="2:32" s="138" customFormat="1" ht="15.95" customHeight="1" x14ac:dyDescent="0.25">
      <c r="B45" s="219">
        <v>95</v>
      </c>
      <c r="C45" s="220" t="s">
        <v>46</v>
      </c>
      <c r="D45" s="221" t="s">
        <v>60</v>
      </c>
      <c r="E45" s="222" t="s">
        <v>65</v>
      </c>
      <c r="F45" s="214" t="s">
        <v>28</v>
      </c>
      <c r="G45" s="199">
        <f>WORKDAY(J45,-1,[2]Hoja1!$A$1:$A$72)</f>
        <v>46293</v>
      </c>
      <c r="H45" s="218">
        <v>46262</v>
      </c>
      <c r="I45" s="217">
        <v>46262</v>
      </c>
      <c r="J45" s="208">
        <v>46294</v>
      </c>
      <c r="K45" s="201">
        <f t="shared" si="0"/>
        <v>46294</v>
      </c>
      <c r="L45" s="215">
        <f t="shared" si="1"/>
        <v>32</v>
      </c>
      <c r="M45" s="218">
        <f t="shared" si="18"/>
        <v>46294</v>
      </c>
      <c r="N45" s="216">
        <f t="shared" si="2"/>
        <v>46294</v>
      </c>
      <c r="O45" s="218">
        <f t="shared" si="17"/>
        <v>46294</v>
      </c>
      <c r="P45" s="216">
        <f t="shared" si="3"/>
        <v>46294</v>
      </c>
      <c r="Q45" s="218">
        <f t="shared" si="19"/>
        <v>46294</v>
      </c>
      <c r="R45" s="217">
        <f t="shared" si="20"/>
        <v>46294</v>
      </c>
      <c r="S45" s="218">
        <f t="shared" si="21"/>
        <v>46294</v>
      </c>
      <c r="T45" s="217">
        <f t="shared" si="22"/>
        <v>46294</v>
      </c>
      <c r="U45" s="218">
        <f t="shared" si="23"/>
        <v>46294</v>
      </c>
      <c r="V45" s="217">
        <f t="shared" si="24"/>
        <v>46294</v>
      </c>
      <c r="W45" s="218">
        <f t="shared" si="25"/>
        <v>46294</v>
      </c>
      <c r="X45" s="217">
        <f t="shared" si="26"/>
        <v>46294</v>
      </c>
      <c r="Y45" s="218">
        <f t="shared" si="27"/>
        <v>46294</v>
      </c>
      <c r="Z45" s="216">
        <f t="shared" si="28"/>
        <v>46294</v>
      </c>
      <c r="AA45" s="218">
        <v>46314</v>
      </c>
      <c r="AB45" s="217">
        <f t="shared" si="16"/>
        <v>46314</v>
      </c>
      <c r="AC45" s="200">
        <f>WORKDAY(AA45,1,[2]Hoja1!$A$1:$A$72)</f>
        <v>46315</v>
      </c>
      <c r="AD45" s="217">
        <f t="shared" si="29"/>
        <v>46315</v>
      </c>
      <c r="AE45" s="218">
        <f t="shared" si="30"/>
        <v>46315</v>
      </c>
      <c r="AF45" s="217">
        <f t="shared" si="31"/>
        <v>46315</v>
      </c>
    </row>
    <row r="46" spans="2:32" s="138" customFormat="1" ht="15.95" customHeight="1" x14ac:dyDescent="0.25">
      <c r="B46" s="219">
        <v>95</v>
      </c>
      <c r="C46" s="220" t="s">
        <v>49</v>
      </c>
      <c r="D46" s="221" t="s">
        <v>60</v>
      </c>
      <c r="E46" s="222" t="s">
        <v>65</v>
      </c>
      <c r="F46" s="214" t="s">
        <v>28</v>
      </c>
      <c r="G46" s="199">
        <f>WORKDAY(J46,-1,[2]Hoja1!$A$1:$A$72)</f>
        <v>46293</v>
      </c>
      <c r="H46" s="218">
        <v>46262</v>
      </c>
      <c r="I46" s="217">
        <v>46262</v>
      </c>
      <c r="J46" s="208">
        <v>46294</v>
      </c>
      <c r="K46" s="201">
        <f>+J46</f>
        <v>46294</v>
      </c>
      <c r="L46" s="215">
        <f>(J46-H46)</f>
        <v>32</v>
      </c>
      <c r="M46" s="218">
        <f>+J46</f>
        <v>46294</v>
      </c>
      <c r="N46" s="216">
        <f>+M46</f>
        <v>46294</v>
      </c>
      <c r="O46" s="218">
        <f t="shared" si="17"/>
        <v>46294</v>
      </c>
      <c r="P46" s="216">
        <f>+O46</f>
        <v>46294</v>
      </c>
      <c r="Q46" s="218">
        <f>+J46</f>
        <v>46294</v>
      </c>
      <c r="R46" s="217">
        <f>+Q46</f>
        <v>46294</v>
      </c>
      <c r="S46" s="218">
        <f>+J46</f>
        <v>46294</v>
      </c>
      <c r="T46" s="217">
        <f>+S46</f>
        <v>46294</v>
      </c>
      <c r="U46" s="218">
        <f>+J46</f>
        <v>46294</v>
      </c>
      <c r="V46" s="217">
        <f>+U46</f>
        <v>46294</v>
      </c>
      <c r="W46" s="218">
        <f>+J46</f>
        <v>46294</v>
      </c>
      <c r="X46" s="217">
        <f>+W46</f>
        <v>46294</v>
      </c>
      <c r="Y46" s="218">
        <f t="shared" si="27"/>
        <v>46294</v>
      </c>
      <c r="Z46" s="216">
        <f>+Y46</f>
        <v>46294</v>
      </c>
      <c r="AA46" s="218">
        <v>46314</v>
      </c>
      <c r="AB46" s="217">
        <f>+AA46</f>
        <v>46314</v>
      </c>
      <c r="AC46" s="200">
        <f>WORKDAY(AA46,1,[2]Hoja1!$A$1:$A$72)</f>
        <v>46315</v>
      </c>
      <c r="AD46" s="217">
        <f>+AC46</f>
        <v>46315</v>
      </c>
      <c r="AE46" s="218">
        <f>+AC46</f>
        <v>46315</v>
      </c>
      <c r="AF46" s="217">
        <f>+AE46</f>
        <v>46315</v>
      </c>
    </row>
    <row r="47" spans="2:32" s="138" customFormat="1" ht="15.95" customHeight="1" x14ac:dyDescent="0.25">
      <c r="B47" s="219">
        <v>95</v>
      </c>
      <c r="C47" s="220" t="s">
        <v>50</v>
      </c>
      <c r="D47" s="221" t="s">
        <v>60</v>
      </c>
      <c r="E47" s="222" t="s">
        <v>65</v>
      </c>
      <c r="F47" s="214" t="s">
        <v>28</v>
      </c>
      <c r="G47" s="199">
        <f>WORKDAY(J47,-1,[2]Hoja1!$A$1:$A$72)</f>
        <v>46293</v>
      </c>
      <c r="H47" s="218">
        <v>46262</v>
      </c>
      <c r="I47" s="217">
        <v>46262</v>
      </c>
      <c r="J47" s="208">
        <v>46294</v>
      </c>
      <c r="K47" s="201">
        <f>+J47</f>
        <v>46294</v>
      </c>
      <c r="L47" s="215">
        <f>(J47-H47)</f>
        <v>32</v>
      </c>
      <c r="M47" s="218">
        <f>+J47</f>
        <v>46294</v>
      </c>
      <c r="N47" s="216">
        <f>+M47</f>
        <v>46294</v>
      </c>
      <c r="O47" s="218">
        <f t="shared" si="17"/>
        <v>46294</v>
      </c>
      <c r="P47" s="216">
        <f>+O47</f>
        <v>46294</v>
      </c>
      <c r="Q47" s="218">
        <f>+J47</f>
        <v>46294</v>
      </c>
      <c r="R47" s="217">
        <f>+Q47</f>
        <v>46294</v>
      </c>
      <c r="S47" s="218">
        <f>+J47</f>
        <v>46294</v>
      </c>
      <c r="T47" s="217">
        <f>+S47</f>
        <v>46294</v>
      </c>
      <c r="U47" s="218">
        <f>+J47</f>
        <v>46294</v>
      </c>
      <c r="V47" s="217">
        <f>+U47</f>
        <v>46294</v>
      </c>
      <c r="W47" s="218">
        <f>+J47</f>
        <v>46294</v>
      </c>
      <c r="X47" s="217">
        <f>+W47</f>
        <v>46294</v>
      </c>
      <c r="Y47" s="218">
        <f t="shared" si="27"/>
        <v>46294</v>
      </c>
      <c r="Z47" s="216">
        <f>+Y47</f>
        <v>46294</v>
      </c>
      <c r="AA47" s="218">
        <v>46314</v>
      </c>
      <c r="AB47" s="217">
        <f>+AA47</f>
        <v>46314</v>
      </c>
      <c r="AC47" s="200">
        <f>WORKDAY(AA47,1,[2]Hoja1!$A$1:$A$72)</f>
        <v>46315</v>
      </c>
      <c r="AD47" s="217">
        <f>+AC47</f>
        <v>46315</v>
      </c>
      <c r="AE47" s="218">
        <f>+AC47</f>
        <v>46315</v>
      </c>
      <c r="AF47" s="217">
        <f>+AE47</f>
        <v>46315</v>
      </c>
    </row>
    <row r="48" spans="2:32" s="138" customFormat="1" ht="15.95" customHeight="1" x14ac:dyDescent="0.25">
      <c r="B48" s="219">
        <v>77</v>
      </c>
      <c r="C48" s="220" t="s">
        <v>46</v>
      </c>
      <c r="D48" s="221" t="s">
        <v>47</v>
      </c>
      <c r="E48" s="222" t="s">
        <v>66</v>
      </c>
      <c r="F48" s="214" t="s">
        <v>28</v>
      </c>
      <c r="G48" s="199">
        <f>WORKDAY(J48,-1,[2]Hoja1!$A$1:$A$72)</f>
        <v>46294</v>
      </c>
      <c r="H48" s="218">
        <v>46265</v>
      </c>
      <c r="I48" s="217">
        <v>46265</v>
      </c>
      <c r="J48" s="208">
        <v>46295</v>
      </c>
      <c r="K48" s="201">
        <f t="shared" si="0"/>
        <v>46295</v>
      </c>
      <c r="L48" s="215">
        <f t="shared" si="1"/>
        <v>30</v>
      </c>
      <c r="M48" s="218">
        <f t="shared" si="18"/>
        <v>46295</v>
      </c>
      <c r="N48" s="216">
        <f t="shared" si="2"/>
        <v>46295</v>
      </c>
      <c r="O48" s="218">
        <f t="shared" si="17"/>
        <v>46295</v>
      </c>
      <c r="P48" s="216">
        <f t="shared" si="3"/>
        <v>46295</v>
      </c>
      <c r="Q48" s="218">
        <f t="shared" si="19"/>
        <v>46295</v>
      </c>
      <c r="R48" s="217">
        <f t="shared" si="20"/>
        <v>46295</v>
      </c>
      <c r="S48" s="218">
        <f t="shared" si="21"/>
        <v>46295</v>
      </c>
      <c r="T48" s="217">
        <f t="shared" si="22"/>
        <v>46295</v>
      </c>
      <c r="U48" s="218">
        <f t="shared" si="23"/>
        <v>46295</v>
      </c>
      <c r="V48" s="217">
        <f t="shared" si="24"/>
        <v>46295</v>
      </c>
      <c r="W48" s="218">
        <f t="shared" si="25"/>
        <v>46295</v>
      </c>
      <c r="X48" s="217">
        <f t="shared" si="26"/>
        <v>46295</v>
      </c>
      <c r="Y48" s="218">
        <f t="shared" si="27"/>
        <v>46295</v>
      </c>
      <c r="Z48" s="216">
        <f t="shared" si="28"/>
        <v>46295</v>
      </c>
      <c r="AA48" s="218">
        <v>46314</v>
      </c>
      <c r="AB48" s="217">
        <f t="shared" si="16"/>
        <v>46314</v>
      </c>
      <c r="AC48" s="200">
        <f>WORKDAY(AA48,1,[2]Hoja1!$A$1:$A$72)</f>
        <v>46315</v>
      </c>
      <c r="AD48" s="217">
        <f t="shared" si="29"/>
        <v>46315</v>
      </c>
      <c r="AE48" s="218">
        <f t="shared" si="30"/>
        <v>46315</v>
      </c>
      <c r="AF48" s="217">
        <f t="shared" si="31"/>
        <v>46315</v>
      </c>
    </row>
    <row r="49" spans="2:32" s="138" customFormat="1" ht="15.95" customHeight="1" x14ac:dyDescent="0.25">
      <c r="B49" s="219">
        <v>77</v>
      </c>
      <c r="C49" s="220" t="s">
        <v>49</v>
      </c>
      <c r="D49" s="221" t="s">
        <v>47</v>
      </c>
      <c r="E49" s="222" t="s">
        <v>66</v>
      </c>
      <c r="F49" s="214" t="s">
        <v>28</v>
      </c>
      <c r="G49" s="199">
        <f>WORKDAY(J49,-1,[2]Hoja1!$A$1:$A$72)</f>
        <v>46294</v>
      </c>
      <c r="H49" s="218">
        <v>46265</v>
      </c>
      <c r="I49" s="217">
        <v>46265</v>
      </c>
      <c r="J49" s="208">
        <v>46295</v>
      </c>
      <c r="K49" s="201">
        <f>+J49</f>
        <v>46295</v>
      </c>
      <c r="L49" s="215">
        <f>(J49-H49)</f>
        <v>30</v>
      </c>
      <c r="M49" s="218">
        <f>+J49</f>
        <v>46295</v>
      </c>
      <c r="N49" s="216">
        <f>+M49</f>
        <v>46295</v>
      </c>
      <c r="O49" s="218">
        <f t="shared" si="17"/>
        <v>46295</v>
      </c>
      <c r="P49" s="216">
        <f>+O49</f>
        <v>46295</v>
      </c>
      <c r="Q49" s="218">
        <f>+J49</f>
        <v>46295</v>
      </c>
      <c r="R49" s="217">
        <f>+Q49</f>
        <v>46295</v>
      </c>
      <c r="S49" s="218">
        <f>+J49</f>
        <v>46295</v>
      </c>
      <c r="T49" s="217">
        <f>+S49</f>
        <v>46295</v>
      </c>
      <c r="U49" s="218">
        <f>+J49</f>
        <v>46295</v>
      </c>
      <c r="V49" s="217">
        <f>+U49</f>
        <v>46295</v>
      </c>
      <c r="W49" s="218">
        <f>+J49</f>
        <v>46295</v>
      </c>
      <c r="X49" s="217">
        <f>+W49</f>
        <v>46295</v>
      </c>
      <c r="Y49" s="218">
        <f t="shared" si="27"/>
        <v>46295</v>
      </c>
      <c r="Z49" s="216">
        <f>+Y49</f>
        <v>46295</v>
      </c>
      <c r="AA49" s="218">
        <v>46314</v>
      </c>
      <c r="AB49" s="217">
        <f>+AA49</f>
        <v>46314</v>
      </c>
      <c r="AC49" s="200">
        <f>WORKDAY(AA49,1,[2]Hoja1!$A$1:$A$72)</f>
        <v>46315</v>
      </c>
      <c r="AD49" s="217">
        <f>+AC49</f>
        <v>46315</v>
      </c>
      <c r="AE49" s="218">
        <f>+AC49</f>
        <v>46315</v>
      </c>
      <c r="AF49" s="217">
        <f>+AE49</f>
        <v>46315</v>
      </c>
    </row>
    <row r="50" spans="2:32" s="138" customFormat="1" ht="15.95" customHeight="1" x14ac:dyDescent="0.25">
      <c r="B50" s="219">
        <v>77</v>
      </c>
      <c r="C50" s="220" t="s">
        <v>50</v>
      </c>
      <c r="D50" s="221" t="s">
        <v>47</v>
      </c>
      <c r="E50" s="222" t="s">
        <v>66</v>
      </c>
      <c r="F50" s="214" t="s">
        <v>28</v>
      </c>
      <c r="G50" s="199">
        <f>WORKDAY(J50,-1,[2]Hoja1!$A$1:$A$72)</f>
        <v>46294</v>
      </c>
      <c r="H50" s="218">
        <v>46265</v>
      </c>
      <c r="I50" s="217">
        <v>46265</v>
      </c>
      <c r="J50" s="208">
        <v>46295</v>
      </c>
      <c r="K50" s="201">
        <f>+J50</f>
        <v>46295</v>
      </c>
      <c r="L50" s="215">
        <f>(J50-H50)</f>
        <v>30</v>
      </c>
      <c r="M50" s="218">
        <f>+J50</f>
        <v>46295</v>
      </c>
      <c r="N50" s="216">
        <f>+M50</f>
        <v>46295</v>
      </c>
      <c r="O50" s="218">
        <f t="shared" si="17"/>
        <v>46295</v>
      </c>
      <c r="P50" s="216">
        <f>+O50</f>
        <v>46295</v>
      </c>
      <c r="Q50" s="218">
        <f>+J50</f>
        <v>46295</v>
      </c>
      <c r="R50" s="217">
        <f>+Q50</f>
        <v>46295</v>
      </c>
      <c r="S50" s="218">
        <f>+J50</f>
        <v>46295</v>
      </c>
      <c r="T50" s="217">
        <f>+S50</f>
        <v>46295</v>
      </c>
      <c r="U50" s="218">
        <f>+J50</f>
        <v>46295</v>
      </c>
      <c r="V50" s="217">
        <f>+U50</f>
        <v>46295</v>
      </c>
      <c r="W50" s="218">
        <f>+J50</f>
        <v>46295</v>
      </c>
      <c r="X50" s="217">
        <f>+W50</f>
        <v>46295</v>
      </c>
      <c r="Y50" s="218">
        <f t="shared" si="27"/>
        <v>46295</v>
      </c>
      <c r="Z50" s="216">
        <f>+Y50</f>
        <v>46295</v>
      </c>
      <c r="AA50" s="218">
        <v>46314</v>
      </c>
      <c r="AB50" s="217">
        <f>+AA50</f>
        <v>46314</v>
      </c>
      <c r="AC50" s="200">
        <f>WORKDAY(AA50,1,[2]Hoja1!$A$1:$A$72)</f>
        <v>46315</v>
      </c>
      <c r="AD50" s="217">
        <f>+AC50</f>
        <v>46315</v>
      </c>
      <c r="AE50" s="218">
        <f>+AC50</f>
        <v>46315</v>
      </c>
      <c r="AF50" s="217">
        <f>+AE50</f>
        <v>46315</v>
      </c>
    </row>
    <row r="51" spans="2:32" s="138" customFormat="1" ht="15.95" customHeight="1" x14ac:dyDescent="0.25">
      <c r="B51" s="223"/>
      <c r="C51" s="223"/>
      <c r="D51" s="223"/>
      <c r="E51" s="223"/>
      <c r="F51" s="224"/>
      <c r="G51" s="224"/>
      <c r="H51" s="225"/>
      <c r="I51" s="226"/>
      <c r="J51" s="227"/>
      <c r="K51" s="228"/>
      <c r="L51" s="229"/>
      <c r="M51" s="225"/>
      <c r="N51" s="226"/>
      <c r="O51" s="228"/>
      <c r="P51" s="228"/>
      <c r="Q51" s="226"/>
      <c r="R51" s="226"/>
      <c r="S51" s="225"/>
      <c r="T51" s="226"/>
      <c r="U51" s="225"/>
      <c r="V51" s="226"/>
      <c r="W51" s="225"/>
      <c r="X51" s="226"/>
      <c r="Y51" s="227"/>
      <c r="Z51" s="228"/>
      <c r="AA51" s="225"/>
      <c r="AB51" s="226"/>
      <c r="AC51" s="225"/>
      <c r="AD51" s="226"/>
      <c r="AE51" s="225"/>
      <c r="AF51" s="226"/>
    </row>
    <row r="52" spans="2:32" s="138" customFormat="1" ht="15.95" customHeight="1" thickBot="1" x14ac:dyDescent="0.3">
      <c r="B52" s="223"/>
      <c r="C52" s="223"/>
      <c r="D52" s="223"/>
      <c r="E52" s="223"/>
      <c r="F52" s="224"/>
      <c r="G52" s="224"/>
      <c r="H52" s="225"/>
      <c r="I52" s="226"/>
      <c r="J52" s="227"/>
      <c r="K52" s="228"/>
      <c r="L52" s="229"/>
      <c r="M52" s="225"/>
      <c r="N52" s="226"/>
      <c r="O52" s="228"/>
      <c r="P52" s="228"/>
      <c r="Q52" s="226"/>
      <c r="R52" s="226"/>
      <c r="S52" s="225"/>
      <c r="T52" s="226"/>
      <c r="U52" s="225"/>
      <c r="V52" s="226"/>
      <c r="W52" s="225"/>
      <c r="X52" s="226"/>
      <c r="Y52" s="227"/>
      <c r="Z52" s="228"/>
      <c r="AA52" s="225"/>
      <c r="AB52" s="226"/>
      <c r="AC52" s="225"/>
      <c r="AD52" s="226"/>
      <c r="AE52" s="225"/>
      <c r="AF52" s="226"/>
    </row>
    <row r="53" spans="2:32" ht="13.5" hidden="1" thickBot="1" x14ac:dyDescent="0.25"/>
    <row r="54" spans="2:32" ht="13.5" hidden="1" thickBot="1" x14ac:dyDescent="0.25"/>
    <row r="55" spans="2:32" ht="30" customHeight="1" thickBot="1" x14ac:dyDescent="0.25">
      <c r="B55" s="230" t="s">
        <v>93</v>
      </c>
      <c r="C55" s="231"/>
      <c r="D55" s="231"/>
      <c r="E55" s="232"/>
      <c r="F55" s="232"/>
      <c r="G55" s="232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3"/>
      <c r="W55" s="233"/>
      <c r="X55" s="233"/>
      <c r="Y55" s="233"/>
      <c r="Z55" s="233"/>
      <c r="AA55" s="233"/>
      <c r="AB55" s="233"/>
      <c r="AC55" s="233"/>
      <c r="AD55" s="233"/>
      <c r="AE55" s="233"/>
      <c r="AF55" s="234"/>
    </row>
    <row r="56" spans="2:32" ht="60.6" customHeight="1" thickTop="1" thickBot="1" x14ac:dyDescent="0.25">
      <c r="B56" s="235"/>
      <c r="C56" s="236"/>
      <c r="D56" s="236"/>
      <c r="E56" s="236"/>
      <c r="F56" s="236"/>
      <c r="G56" s="236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8"/>
    </row>
    <row r="57" spans="2:32" x14ac:dyDescent="0.2"/>
    <row r="58" spans="2:32" x14ac:dyDescent="0.2"/>
    <row r="59" spans="2:32" x14ac:dyDescent="0.2"/>
    <row r="60" spans="2:32" x14ac:dyDescent="0.2"/>
    <row r="61" spans="2:32" x14ac:dyDescent="0.2"/>
    <row r="62" spans="2:32" x14ac:dyDescent="0.2"/>
    <row r="63" spans="2:32" x14ac:dyDescent="0.2"/>
    <row r="64" spans="2:32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</sheetData>
  <sheetProtection insertRows="0" insertHyperlinks="0" deleteRows="0" sort="0" autoFilter="0" pivotTables="0"/>
  <mergeCells count="24">
    <mergeCell ref="B55:AF56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</mergeCells>
  <conditionalFormatting sqref="N51:O52 I9:I18 I21:I24 N7:N50 T7:T52 V7:V52 X7:X52 AB7:AB52 AD7:AD52 AF7:AF52 K7:K52 P7:P50 Z7:Z52 R7:R50 I26 I28:I29 I31:I52">
    <cfRule type="expression" dxfId="9" priority="9" stopIfTrue="1">
      <formula>IF(H7="",TRUE,FALSE)</formula>
    </cfRule>
  </conditionalFormatting>
  <conditionalFormatting sqref="P51:Q52 L7:L52">
    <cfRule type="expression" dxfId="8" priority="8" stopIfTrue="1">
      <formula>IF(J7="",TRUE,FALSE)</formula>
    </cfRule>
  </conditionalFormatting>
  <conditionalFormatting sqref="L7:L52">
    <cfRule type="expression" dxfId="7" priority="7" stopIfTrue="1">
      <formula>IF(F7="Mensual",OR(L7&gt;32,L7&lt;28), IF(F7="Bimestral",OR(L7&gt;62,L7&lt;58),IF(F7="Trimestral",OR(L7&gt;96,L7&lt;84),FALSE)))</formula>
    </cfRule>
  </conditionalFormatting>
  <conditionalFormatting sqref="R51:R52">
    <cfRule type="expression" dxfId="6" priority="10" stopIfTrue="1">
      <formula>IF(O51="",TRUE,FALSE)</formula>
    </cfRule>
  </conditionalFormatting>
  <conditionalFormatting sqref="I7:I8">
    <cfRule type="expression" dxfId="5" priority="6" stopIfTrue="1">
      <formula>IF(H7="",TRUE,FALSE)</formula>
    </cfRule>
  </conditionalFormatting>
  <conditionalFormatting sqref="I19">
    <cfRule type="expression" dxfId="4" priority="5" stopIfTrue="1">
      <formula>IF(H19="",TRUE,FALSE)</formula>
    </cfRule>
  </conditionalFormatting>
  <conditionalFormatting sqref="I20">
    <cfRule type="expression" dxfId="3" priority="4" stopIfTrue="1">
      <formula>IF(H20="",TRUE,FALSE)</formula>
    </cfRule>
  </conditionalFormatting>
  <conditionalFormatting sqref="I25">
    <cfRule type="expression" dxfId="2" priority="3" stopIfTrue="1">
      <formula>IF(H25="",TRUE,FALSE)</formula>
    </cfRule>
  </conditionalFormatting>
  <conditionalFormatting sqref="I27">
    <cfRule type="expression" dxfId="1" priority="2" stopIfTrue="1">
      <formula>IF(H27="",TRUE,FALSE)</formula>
    </cfRule>
  </conditionalFormatting>
  <conditionalFormatting sqref="I30">
    <cfRule type="expression" dxfId="0" priority="1" stopIfTrue="1">
      <formula>IF(H30="",TRUE,FALSE)</formula>
    </cfRule>
  </conditionalFormatting>
  <dataValidations count="1">
    <dataValidation type="list" allowBlank="1" showInputMessage="1" showErrorMessage="1" sqref="G51:G52 JC51:JC52 SY51:SY52 ACU51:ACU52 AMQ51:AMQ52 AWM51:AWM52 BGI51:BGI52 BQE51:BQE52 CAA51:CAA52 CJW51:CJW52 CTS51:CTS52 DDO51:DDO52 DNK51:DNK52 DXG51:DXG52 EHC51:EHC52 EQY51:EQY52 FAU51:FAU52 FKQ51:FKQ52 FUM51:FUM52 GEI51:GEI52 GOE51:GOE52 GYA51:GYA52 HHW51:HHW52 HRS51:HRS52 IBO51:IBO52 ILK51:ILK52 IVG51:IVG52 JFC51:JFC52 JOY51:JOY52 JYU51:JYU52 KIQ51:KIQ52 KSM51:KSM52 LCI51:LCI52 LME51:LME52 LWA51:LWA52 MFW51:MFW52 MPS51:MPS52 MZO51:MZO52 NJK51:NJK52 NTG51:NTG52 ODC51:ODC52 OMY51:OMY52 OWU51:OWU52 PGQ51:PGQ52 PQM51:PQM52 QAI51:QAI52 QKE51:QKE52 QUA51:QUA52 RDW51:RDW52 RNS51:RNS52 RXO51:RXO52 SHK51:SHK52 SRG51:SRG52 TBC51:TBC52 TKY51:TKY52 TUU51:TUU52 UEQ51:UEQ52 UOM51:UOM52 UYI51:UYI52 VIE51:VIE52 VSA51:VSA52 WBW51:WBW52 WLS51:WLS52 WVO51:WVO52 G65587:G65588 JC65587:JC65588 SY65587:SY65588 ACU65587:ACU65588 AMQ65587:AMQ65588 AWM65587:AWM65588 BGI65587:BGI65588 BQE65587:BQE65588 CAA65587:CAA65588 CJW65587:CJW65588 CTS65587:CTS65588 DDO65587:DDO65588 DNK65587:DNK65588 DXG65587:DXG65588 EHC65587:EHC65588 EQY65587:EQY65588 FAU65587:FAU65588 FKQ65587:FKQ65588 FUM65587:FUM65588 GEI65587:GEI65588 GOE65587:GOE65588 GYA65587:GYA65588 HHW65587:HHW65588 HRS65587:HRS65588 IBO65587:IBO65588 ILK65587:ILK65588 IVG65587:IVG65588 JFC65587:JFC65588 JOY65587:JOY65588 JYU65587:JYU65588 KIQ65587:KIQ65588 KSM65587:KSM65588 LCI65587:LCI65588 LME65587:LME65588 LWA65587:LWA65588 MFW65587:MFW65588 MPS65587:MPS65588 MZO65587:MZO65588 NJK65587:NJK65588 NTG65587:NTG65588 ODC65587:ODC65588 OMY65587:OMY65588 OWU65587:OWU65588 PGQ65587:PGQ65588 PQM65587:PQM65588 QAI65587:QAI65588 QKE65587:QKE65588 QUA65587:QUA65588 RDW65587:RDW65588 RNS65587:RNS65588 RXO65587:RXO65588 SHK65587:SHK65588 SRG65587:SRG65588 TBC65587:TBC65588 TKY65587:TKY65588 TUU65587:TUU65588 UEQ65587:UEQ65588 UOM65587:UOM65588 UYI65587:UYI65588 VIE65587:VIE65588 VSA65587:VSA65588 WBW65587:WBW65588 WLS65587:WLS65588 WVO65587:WVO65588 G131123:G131124 JC131123:JC131124 SY131123:SY131124 ACU131123:ACU131124 AMQ131123:AMQ131124 AWM131123:AWM131124 BGI131123:BGI131124 BQE131123:BQE131124 CAA131123:CAA131124 CJW131123:CJW131124 CTS131123:CTS131124 DDO131123:DDO131124 DNK131123:DNK131124 DXG131123:DXG131124 EHC131123:EHC131124 EQY131123:EQY131124 FAU131123:FAU131124 FKQ131123:FKQ131124 FUM131123:FUM131124 GEI131123:GEI131124 GOE131123:GOE131124 GYA131123:GYA131124 HHW131123:HHW131124 HRS131123:HRS131124 IBO131123:IBO131124 ILK131123:ILK131124 IVG131123:IVG131124 JFC131123:JFC131124 JOY131123:JOY131124 JYU131123:JYU131124 KIQ131123:KIQ131124 KSM131123:KSM131124 LCI131123:LCI131124 LME131123:LME131124 LWA131123:LWA131124 MFW131123:MFW131124 MPS131123:MPS131124 MZO131123:MZO131124 NJK131123:NJK131124 NTG131123:NTG131124 ODC131123:ODC131124 OMY131123:OMY131124 OWU131123:OWU131124 PGQ131123:PGQ131124 PQM131123:PQM131124 QAI131123:QAI131124 QKE131123:QKE131124 QUA131123:QUA131124 RDW131123:RDW131124 RNS131123:RNS131124 RXO131123:RXO131124 SHK131123:SHK131124 SRG131123:SRG131124 TBC131123:TBC131124 TKY131123:TKY131124 TUU131123:TUU131124 UEQ131123:UEQ131124 UOM131123:UOM131124 UYI131123:UYI131124 VIE131123:VIE131124 VSA131123:VSA131124 WBW131123:WBW131124 WLS131123:WLS131124 WVO131123:WVO131124 G196659:G196660 JC196659:JC196660 SY196659:SY196660 ACU196659:ACU196660 AMQ196659:AMQ196660 AWM196659:AWM196660 BGI196659:BGI196660 BQE196659:BQE196660 CAA196659:CAA196660 CJW196659:CJW196660 CTS196659:CTS196660 DDO196659:DDO196660 DNK196659:DNK196660 DXG196659:DXG196660 EHC196659:EHC196660 EQY196659:EQY196660 FAU196659:FAU196660 FKQ196659:FKQ196660 FUM196659:FUM196660 GEI196659:GEI196660 GOE196659:GOE196660 GYA196659:GYA196660 HHW196659:HHW196660 HRS196659:HRS196660 IBO196659:IBO196660 ILK196659:ILK196660 IVG196659:IVG196660 JFC196659:JFC196660 JOY196659:JOY196660 JYU196659:JYU196660 KIQ196659:KIQ196660 KSM196659:KSM196660 LCI196659:LCI196660 LME196659:LME196660 LWA196659:LWA196660 MFW196659:MFW196660 MPS196659:MPS196660 MZO196659:MZO196660 NJK196659:NJK196660 NTG196659:NTG196660 ODC196659:ODC196660 OMY196659:OMY196660 OWU196659:OWU196660 PGQ196659:PGQ196660 PQM196659:PQM196660 QAI196659:QAI196660 QKE196659:QKE196660 QUA196659:QUA196660 RDW196659:RDW196660 RNS196659:RNS196660 RXO196659:RXO196660 SHK196659:SHK196660 SRG196659:SRG196660 TBC196659:TBC196660 TKY196659:TKY196660 TUU196659:TUU196660 UEQ196659:UEQ196660 UOM196659:UOM196660 UYI196659:UYI196660 VIE196659:VIE196660 VSA196659:VSA196660 WBW196659:WBW196660 WLS196659:WLS196660 WVO196659:WVO196660 G262195:G262196 JC262195:JC262196 SY262195:SY262196 ACU262195:ACU262196 AMQ262195:AMQ262196 AWM262195:AWM262196 BGI262195:BGI262196 BQE262195:BQE262196 CAA262195:CAA262196 CJW262195:CJW262196 CTS262195:CTS262196 DDO262195:DDO262196 DNK262195:DNK262196 DXG262195:DXG262196 EHC262195:EHC262196 EQY262195:EQY262196 FAU262195:FAU262196 FKQ262195:FKQ262196 FUM262195:FUM262196 GEI262195:GEI262196 GOE262195:GOE262196 GYA262195:GYA262196 HHW262195:HHW262196 HRS262195:HRS262196 IBO262195:IBO262196 ILK262195:ILK262196 IVG262195:IVG262196 JFC262195:JFC262196 JOY262195:JOY262196 JYU262195:JYU262196 KIQ262195:KIQ262196 KSM262195:KSM262196 LCI262195:LCI262196 LME262195:LME262196 LWA262195:LWA262196 MFW262195:MFW262196 MPS262195:MPS262196 MZO262195:MZO262196 NJK262195:NJK262196 NTG262195:NTG262196 ODC262195:ODC262196 OMY262195:OMY262196 OWU262195:OWU262196 PGQ262195:PGQ262196 PQM262195:PQM262196 QAI262195:QAI262196 QKE262195:QKE262196 QUA262195:QUA262196 RDW262195:RDW262196 RNS262195:RNS262196 RXO262195:RXO262196 SHK262195:SHK262196 SRG262195:SRG262196 TBC262195:TBC262196 TKY262195:TKY262196 TUU262195:TUU262196 UEQ262195:UEQ262196 UOM262195:UOM262196 UYI262195:UYI262196 VIE262195:VIE262196 VSA262195:VSA262196 WBW262195:WBW262196 WLS262195:WLS262196 WVO262195:WVO262196 G327731:G327732 JC327731:JC327732 SY327731:SY327732 ACU327731:ACU327732 AMQ327731:AMQ327732 AWM327731:AWM327732 BGI327731:BGI327732 BQE327731:BQE327732 CAA327731:CAA327732 CJW327731:CJW327732 CTS327731:CTS327732 DDO327731:DDO327732 DNK327731:DNK327732 DXG327731:DXG327732 EHC327731:EHC327732 EQY327731:EQY327732 FAU327731:FAU327732 FKQ327731:FKQ327732 FUM327731:FUM327732 GEI327731:GEI327732 GOE327731:GOE327732 GYA327731:GYA327732 HHW327731:HHW327732 HRS327731:HRS327732 IBO327731:IBO327732 ILK327731:ILK327732 IVG327731:IVG327732 JFC327731:JFC327732 JOY327731:JOY327732 JYU327731:JYU327732 KIQ327731:KIQ327732 KSM327731:KSM327732 LCI327731:LCI327732 LME327731:LME327732 LWA327731:LWA327732 MFW327731:MFW327732 MPS327731:MPS327732 MZO327731:MZO327732 NJK327731:NJK327732 NTG327731:NTG327732 ODC327731:ODC327732 OMY327731:OMY327732 OWU327731:OWU327732 PGQ327731:PGQ327732 PQM327731:PQM327732 QAI327731:QAI327732 QKE327731:QKE327732 QUA327731:QUA327732 RDW327731:RDW327732 RNS327731:RNS327732 RXO327731:RXO327732 SHK327731:SHK327732 SRG327731:SRG327732 TBC327731:TBC327732 TKY327731:TKY327732 TUU327731:TUU327732 UEQ327731:UEQ327732 UOM327731:UOM327732 UYI327731:UYI327732 VIE327731:VIE327732 VSA327731:VSA327732 WBW327731:WBW327732 WLS327731:WLS327732 WVO327731:WVO327732 G393267:G393268 JC393267:JC393268 SY393267:SY393268 ACU393267:ACU393268 AMQ393267:AMQ393268 AWM393267:AWM393268 BGI393267:BGI393268 BQE393267:BQE393268 CAA393267:CAA393268 CJW393267:CJW393268 CTS393267:CTS393268 DDO393267:DDO393268 DNK393267:DNK393268 DXG393267:DXG393268 EHC393267:EHC393268 EQY393267:EQY393268 FAU393267:FAU393268 FKQ393267:FKQ393268 FUM393267:FUM393268 GEI393267:GEI393268 GOE393267:GOE393268 GYA393267:GYA393268 HHW393267:HHW393268 HRS393267:HRS393268 IBO393267:IBO393268 ILK393267:ILK393268 IVG393267:IVG393268 JFC393267:JFC393268 JOY393267:JOY393268 JYU393267:JYU393268 KIQ393267:KIQ393268 KSM393267:KSM393268 LCI393267:LCI393268 LME393267:LME393268 LWA393267:LWA393268 MFW393267:MFW393268 MPS393267:MPS393268 MZO393267:MZO393268 NJK393267:NJK393268 NTG393267:NTG393268 ODC393267:ODC393268 OMY393267:OMY393268 OWU393267:OWU393268 PGQ393267:PGQ393268 PQM393267:PQM393268 QAI393267:QAI393268 QKE393267:QKE393268 QUA393267:QUA393268 RDW393267:RDW393268 RNS393267:RNS393268 RXO393267:RXO393268 SHK393267:SHK393268 SRG393267:SRG393268 TBC393267:TBC393268 TKY393267:TKY393268 TUU393267:TUU393268 UEQ393267:UEQ393268 UOM393267:UOM393268 UYI393267:UYI393268 VIE393267:VIE393268 VSA393267:VSA393268 WBW393267:WBW393268 WLS393267:WLS393268 WVO393267:WVO393268 G458803:G458804 JC458803:JC458804 SY458803:SY458804 ACU458803:ACU458804 AMQ458803:AMQ458804 AWM458803:AWM458804 BGI458803:BGI458804 BQE458803:BQE458804 CAA458803:CAA458804 CJW458803:CJW458804 CTS458803:CTS458804 DDO458803:DDO458804 DNK458803:DNK458804 DXG458803:DXG458804 EHC458803:EHC458804 EQY458803:EQY458804 FAU458803:FAU458804 FKQ458803:FKQ458804 FUM458803:FUM458804 GEI458803:GEI458804 GOE458803:GOE458804 GYA458803:GYA458804 HHW458803:HHW458804 HRS458803:HRS458804 IBO458803:IBO458804 ILK458803:ILK458804 IVG458803:IVG458804 JFC458803:JFC458804 JOY458803:JOY458804 JYU458803:JYU458804 KIQ458803:KIQ458804 KSM458803:KSM458804 LCI458803:LCI458804 LME458803:LME458804 LWA458803:LWA458804 MFW458803:MFW458804 MPS458803:MPS458804 MZO458803:MZO458804 NJK458803:NJK458804 NTG458803:NTG458804 ODC458803:ODC458804 OMY458803:OMY458804 OWU458803:OWU458804 PGQ458803:PGQ458804 PQM458803:PQM458804 QAI458803:QAI458804 QKE458803:QKE458804 QUA458803:QUA458804 RDW458803:RDW458804 RNS458803:RNS458804 RXO458803:RXO458804 SHK458803:SHK458804 SRG458803:SRG458804 TBC458803:TBC458804 TKY458803:TKY458804 TUU458803:TUU458804 UEQ458803:UEQ458804 UOM458803:UOM458804 UYI458803:UYI458804 VIE458803:VIE458804 VSA458803:VSA458804 WBW458803:WBW458804 WLS458803:WLS458804 WVO458803:WVO458804 G524339:G524340 JC524339:JC524340 SY524339:SY524340 ACU524339:ACU524340 AMQ524339:AMQ524340 AWM524339:AWM524340 BGI524339:BGI524340 BQE524339:BQE524340 CAA524339:CAA524340 CJW524339:CJW524340 CTS524339:CTS524340 DDO524339:DDO524340 DNK524339:DNK524340 DXG524339:DXG524340 EHC524339:EHC524340 EQY524339:EQY524340 FAU524339:FAU524340 FKQ524339:FKQ524340 FUM524339:FUM524340 GEI524339:GEI524340 GOE524339:GOE524340 GYA524339:GYA524340 HHW524339:HHW524340 HRS524339:HRS524340 IBO524339:IBO524340 ILK524339:ILK524340 IVG524339:IVG524340 JFC524339:JFC524340 JOY524339:JOY524340 JYU524339:JYU524340 KIQ524339:KIQ524340 KSM524339:KSM524340 LCI524339:LCI524340 LME524339:LME524340 LWA524339:LWA524340 MFW524339:MFW524340 MPS524339:MPS524340 MZO524339:MZO524340 NJK524339:NJK524340 NTG524339:NTG524340 ODC524339:ODC524340 OMY524339:OMY524340 OWU524339:OWU524340 PGQ524339:PGQ524340 PQM524339:PQM524340 QAI524339:QAI524340 QKE524339:QKE524340 QUA524339:QUA524340 RDW524339:RDW524340 RNS524339:RNS524340 RXO524339:RXO524340 SHK524339:SHK524340 SRG524339:SRG524340 TBC524339:TBC524340 TKY524339:TKY524340 TUU524339:TUU524340 UEQ524339:UEQ524340 UOM524339:UOM524340 UYI524339:UYI524340 VIE524339:VIE524340 VSA524339:VSA524340 WBW524339:WBW524340 WLS524339:WLS524340 WVO524339:WVO524340 G589875:G589876 JC589875:JC589876 SY589875:SY589876 ACU589875:ACU589876 AMQ589875:AMQ589876 AWM589875:AWM589876 BGI589875:BGI589876 BQE589875:BQE589876 CAA589875:CAA589876 CJW589875:CJW589876 CTS589875:CTS589876 DDO589875:DDO589876 DNK589875:DNK589876 DXG589875:DXG589876 EHC589875:EHC589876 EQY589875:EQY589876 FAU589875:FAU589876 FKQ589875:FKQ589876 FUM589875:FUM589876 GEI589875:GEI589876 GOE589875:GOE589876 GYA589875:GYA589876 HHW589875:HHW589876 HRS589875:HRS589876 IBO589875:IBO589876 ILK589875:ILK589876 IVG589875:IVG589876 JFC589875:JFC589876 JOY589875:JOY589876 JYU589875:JYU589876 KIQ589875:KIQ589876 KSM589875:KSM589876 LCI589875:LCI589876 LME589875:LME589876 LWA589875:LWA589876 MFW589875:MFW589876 MPS589875:MPS589876 MZO589875:MZO589876 NJK589875:NJK589876 NTG589875:NTG589876 ODC589875:ODC589876 OMY589875:OMY589876 OWU589875:OWU589876 PGQ589875:PGQ589876 PQM589875:PQM589876 QAI589875:QAI589876 QKE589875:QKE589876 QUA589875:QUA589876 RDW589875:RDW589876 RNS589875:RNS589876 RXO589875:RXO589876 SHK589875:SHK589876 SRG589875:SRG589876 TBC589875:TBC589876 TKY589875:TKY589876 TUU589875:TUU589876 UEQ589875:UEQ589876 UOM589875:UOM589876 UYI589875:UYI589876 VIE589875:VIE589876 VSA589875:VSA589876 WBW589875:WBW589876 WLS589875:WLS589876 WVO589875:WVO589876 G655411:G655412 JC655411:JC655412 SY655411:SY655412 ACU655411:ACU655412 AMQ655411:AMQ655412 AWM655411:AWM655412 BGI655411:BGI655412 BQE655411:BQE655412 CAA655411:CAA655412 CJW655411:CJW655412 CTS655411:CTS655412 DDO655411:DDO655412 DNK655411:DNK655412 DXG655411:DXG655412 EHC655411:EHC655412 EQY655411:EQY655412 FAU655411:FAU655412 FKQ655411:FKQ655412 FUM655411:FUM655412 GEI655411:GEI655412 GOE655411:GOE655412 GYA655411:GYA655412 HHW655411:HHW655412 HRS655411:HRS655412 IBO655411:IBO655412 ILK655411:ILK655412 IVG655411:IVG655412 JFC655411:JFC655412 JOY655411:JOY655412 JYU655411:JYU655412 KIQ655411:KIQ655412 KSM655411:KSM655412 LCI655411:LCI655412 LME655411:LME655412 LWA655411:LWA655412 MFW655411:MFW655412 MPS655411:MPS655412 MZO655411:MZO655412 NJK655411:NJK655412 NTG655411:NTG655412 ODC655411:ODC655412 OMY655411:OMY655412 OWU655411:OWU655412 PGQ655411:PGQ655412 PQM655411:PQM655412 QAI655411:QAI655412 QKE655411:QKE655412 QUA655411:QUA655412 RDW655411:RDW655412 RNS655411:RNS655412 RXO655411:RXO655412 SHK655411:SHK655412 SRG655411:SRG655412 TBC655411:TBC655412 TKY655411:TKY655412 TUU655411:TUU655412 UEQ655411:UEQ655412 UOM655411:UOM655412 UYI655411:UYI655412 VIE655411:VIE655412 VSA655411:VSA655412 WBW655411:WBW655412 WLS655411:WLS655412 WVO655411:WVO655412 G720947:G720948 JC720947:JC720948 SY720947:SY720948 ACU720947:ACU720948 AMQ720947:AMQ720948 AWM720947:AWM720948 BGI720947:BGI720948 BQE720947:BQE720948 CAA720947:CAA720948 CJW720947:CJW720948 CTS720947:CTS720948 DDO720947:DDO720948 DNK720947:DNK720948 DXG720947:DXG720948 EHC720947:EHC720948 EQY720947:EQY720948 FAU720947:FAU720948 FKQ720947:FKQ720948 FUM720947:FUM720948 GEI720947:GEI720948 GOE720947:GOE720948 GYA720947:GYA720948 HHW720947:HHW720948 HRS720947:HRS720948 IBO720947:IBO720948 ILK720947:ILK720948 IVG720947:IVG720948 JFC720947:JFC720948 JOY720947:JOY720948 JYU720947:JYU720948 KIQ720947:KIQ720948 KSM720947:KSM720948 LCI720947:LCI720948 LME720947:LME720948 LWA720947:LWA720948 MFW720947:MFW720948 MPS720947:MPS720948 MZO720947:MZO720948 NJK720947:NJK720948 NTG720947:NTG720948 ODC720947:ODC720948 OMY720947:OMY720948 OWU720947:OWU720948 PGQ720947:PGQ720948 PQM720947:PQM720948 QAI720947:QAI720948 QKE720947:QKE720948 QUA720947:QUA720948 RDW720947:RDW720948 RNS720947:RNS720948 RXO720947:RXO720948 SHK720947:SHK720948 SRG720947:SRG720948 TBC720947:TBC720948 TKY720947:TKY720948 TUU720947:TUU720948 UEQ720947:UEQ720948 UOM720947:UOM720948 UYI720947:UYI720948 VIE720947:VIE720948 VSA720947:VSA720948 WBW720947:WBW720948 WLS720947:WLS720948 WVO720947:WVO720948 G786483:G786484 JC786483:JC786484 SY786483:SY786484 ACU786483:ACU786484 AMQ786483:AMQ786484 AWM786483:AWM786484 BGI786483:BGI786484 BQE786483:BQE786484 CAA786483:CAA786484 CJW786483:CJW786484 CTS786483:CTS786484 DDO786483:DDO786484 DNK786483:DNK786484 DXG786483:DXG786484 EHC786483:EHC786484 EQY786483:EQY786484 FAU786483:FAU786484 FKQ786483:FKQ786484 FUM786483:FUM786484 GEI786483:GEI786484 GOE786483:GOE786484 GYA786483:GYA786484 HHW786483:HHW786484 HRS786483:HRS786484 IBO786483:IBO786484 ILK786483:ILK786484 IVG786483:IVG786484 JFC786483:JFC786484 JOY786483:JOY786484 JYU786483:JYU786484 KIQ786483:KIQ786484 KSM786483:KSM786484 LCI786483:LCI786484 LME786483:LME786484 LWA786483:LWA786484 MFW786483:MFW786484 MPS786483:MPS786484 MZO786483:MZO786484 NJK786483:NJK786484 NTG786483:NTG786484 ODC786483:ODC786484 OMY786483:OMY786484 OWU786483:OWU786484 PGQ786483:PGQ786484 PQM786483:PQM786484 QAI786483:QAI786484 QKE786483:QKE786484 QUA786483:QUA786484 RDW786483:RDW786484 RNS786483:RNS786484 RXO786483:RXO786484 SHK786483:SHK786484 SRG786483:SRG786484 TBC786483:TBC786484 TKY786483:TKY786484 TUU786483:TUU786484 UEQ786483:UEQ786484 UOM786483:UOM786484 UYI786483:UYI786484 VIE786483:VIE786484 VSA786483:VSA786484 WBW786483:WBW786484 WLS786483:WLS786484 WVO786483:WVO786484 G852019:G852020 JC852019:JC852020 SY852019:SY852020 ACU852019:ACU852020 AMQ852019:AMQ852020 AWM852019:AWM852020 BGI852019:BGI852020 BQE852019:BQE852020 CAA852019:CAA852020 CJW852019:CJW852020 CTS852019:CTS852020 DDO852019:DDO852020 DNK852019:DNK852020 DXG852019:DXG852020 EHC852019:EHC852020 EQY852019:EQY852020 FAU852019:FAU852020 FKQ852019:FKQ852020 FUM852019:FUM852020 GEI852019:GEI852020 GOE852019:GOE852020 GYA852019:GYA852020 HHW852019:HHW852020 HRS852019:HRS852020 IBO852019:IBO852020 ILK852019:ILK852020 IVG852019:IVG852020 JFC852019:JFC852020 JOY852019:JOY852020 JYU852019:JYU852020 KIQ852019:KIQ852020 KSM852019:KSM852020 LCI852019:LCI852020 LME852019:LME852020 LWA852019:LWA852020 MFW852019:MFW852020 MPS852019:MPS852020 MZO852019:MZO852020 NJK852019:NJK852020 NTG852019:NTG852020 ODC852019:ODC852020 OMY852019:OMY852020 OWU852019:OWU852020 PGQ852019:PGQ852020 PQM852019:PQM852020 QAI852019:QAI852020 QKE852019:QKE852020 QUA852019:QUA852020 RDW852019:RDW852020 RNS852019:RNS852020 RXO852019:RXO852020 SHK852019:SHK852020 SRG852019:SRG852020 TBC852019:TBC852020 TKY852019:TKY852020 TUU852019:TUU852020 UEQ852019:UEQ852020 UOM852019:UOM852020 UYI852019:UYI852020 VIE852019:VIE852020 VSA852019:VSA852020 WBW852019:WBW852020 WLS852019:WLS852020 WVO852019:WVO852020 G917555:G917556 JC917555:JC917556 SY917555:SY917556 ACU917555:ACU917556 AMQ917555:AMQ917556 AWM917555:AWM917556 BGI917555:BGI917556 BQE917555:BQE917556 CAA917555:CAA917556 CJW917555:CJW917556 CTS917555:CTS917556 DDO917555:DDO917556 DNK917555:DNK917556 DXG917555:DXG917556 EHC917555:EHC917556 EQY917555:EQY917556 FAU917555:FAU917556 FKQ917555:FKQ917556 FUM917555:FUM917556 GEI917555:GEI917556 GOE917555:GOE917556 GYA917555:GYA917556 HHW917555:HHW917556 HRS917555:HRS917556 IBO917555:IBO917556 ILK917555:ILK917556 IVG917555:IVG917556 JFC917555:JFC917556 JOY917555:JOY917556 JYU917555:JYU917556 KIQ917555:KIQ917556 KSM917555:KSM917556 LCI917555:LCI917556 LME917555:LME917556 LWA917555:LWA917556 MFW917555:MFW917556 MPS917555:MPS917556 MZO917555:MZO917556 NJK917555:NJK917556 NTG917555:NTG917556 ODC917555:ODC917556 OMY917555:OMY917556 OWU917555:OWU917556 PGQ917555:PGQ917556 PQM917555:PQM917556 QAI917555:QAI917556 QKE917555:QKE917556 QUA917555:QUA917556 RDW917555:RDW917556 RNS917555:RNS917556 RXO917555:RXO917556 SHK917555:SHK917556 SRG917555:SRG917556 TBC917555:TBC917556 TKY917555:TKY917556 TUU917555:TUU917556 UEQ917555:UEQ917556 UOM917555:UOM917556 UYI917555:UYI917556 VIE917555:VIE917556 VSA917555:VSA917556 WBW917555:WBW917556 WLS917555:WLS917556 WVO917555:WVO917556 G983091:G983092 JC983091:JC983092 SY983091:SY983092 ACU983091:ACU983092 AMQ983091:AMQ983092 AWM983091:AWM983092 BGI983091:BGI983092 BQE983091:BQE983092 CAA983091:CAA983092 CJW983091:CJW983092 CTS983091:CTS983092 DDO983091:DDO983092 DNK983091:DNK983092 DXG983091:DXG983092 EHC983091:EHC983092 EQY983091:EQY983092 FAU983091:FAU983092 FKQ983091:FKQ983092 FUM983091:FUM983092 GEI983091:GEI983092 GOE983091:GOE983092 GYA983091:GYA983092 HHW983091:HHW983092 HRS983091:HRS983092 IBO983091:IBO983092 ILK983091:ILK983092 IVG983091:IVG983092 JFC983091:JFC983092 JOY983091:JOY983092 JYU983091:JYU983092 KIQ983091:KIQ983092 KSM983091:KSM983092 LCI983091:LCI983092 LME983091:LME983092 LWA983091:LWA983092 MFW983091:MFW983092 MPS983091:MPS983092 MZO983091:MZO983092 NJK983091:NJK983092 NTG983091:NTG983092 ODC983091:ODC983092 OMY983091:OMY983092 OWU983091:OWU983092 PGQ983091:PGQ983092 PQM983091:PQM983092 QAI983091:QAI983092 QKE983091:QKE983092 QUA983091:QUA983092 RDW983091:RDW983092 RNS983091:RNS983092 RXO983091:RXO983092 SHK983091:SHK983092 SRG983091:SRG983092 TBC983091:TBC983092 TKY983091:TKY983092 TUU983091:TUU983092 UEQ983091:UEQ983092 UOM983091:UOM983092 UYI983091:UYI983092 VIE983091:VIE983092 VSA983091:VSA983092 WBW983091:WBW983092 WLS983091:WLS983092 WVO983091:WVO983092 F7:F52 JB7:JB52 SX7:SX52 ACT7:ACT52 AMP7:AMP52 AWL7:AWL52 BGH7:BGH52 BQD7:BQD52 BZZ7:BZZ52 CJV7:CJV52 CTR7:CTR52 DDN7:DDN52 DNJ7:DNJ52 DXF7:DXF52 EHB7:EHB52 EQX7:EQX52 FAT7:FAT52 FKP7:FKP52 FUL7:FUL52 GEH7:GEH52 GOD7:GOD52 GXZ7:GXZ52 HHV7:HHV52 HRR7:HRR52 IBN7:IBN52 ILJ7:ILJ52 IVF7:IVF52 JFB7:JFB52 JOX7:JOX52 JYT7:JYT52 KIP7:KIP52 KSL7:KSL52 LCH7:LCH52 LMD7:LMD52 LVZ7:LVZ52 MFV7:MFV52 MPR7:MPR52 MZN7:MZN52 NJJ7:NJJ52 NTF7:NTF52 ODB7:ODB52 OMX7:OMX52 OWT7:OWT52 PGP7:PGP52 PQL7:PQL52 QAH7:QAH52 QKD7:QKD52 QTZ7:QTZ52 RDV7:RDV52 RNR7:RNR52 RXN7:RXN52 SHJ7:SHJ52 SRF7:SRF52 TBB7:TBB52 TKX7:TKX52 TUT7:TUT52 UEP7:UEP52 UOL7:UOL52 UYH7:UYH52 VID7:VID52 VRZ7:VRZ52 WBV7:WBV52 WLR7:WLR52 WVN7:WVN52 F65543:F65588 JB65543:JB65588 SX65543:SX65588 ACT65543:ACT65588 AMP65543:AMP65588 AWL65543:AWL65588 BGH65543:BGH65588 BQD65543:BQD65588 BZZ65543:BZZ65588 CJV65543:CJV65588 CTR65543:CTR65588 DDN65543:DDN65588 DNJ65543:DNJ65588 DXF65543:DXF65588 EHB65543:EHB65588 EQX65543:EQX65588 FAT65543:FAT65588 FKP65543:FKP65588 FUL65543:FUL65588 GEH65543:GEH65588 GOD65543:GOD65588 GXZ65543:GXZ65588 HHV65543:HHV65588 HRR65543:HRR65588 IBN65543:IBN65588 ILJ65543:ILJ65588 IVF65543:IVF65588 JFB65543:JFB65588 JOX65543:JOX65588 JYT65543:JYT65588 KIP65543:KIP65588 KSL65543:KSL65588 LCH65543:LCH65588 LMD65543:LMD65588 LVZ65543:LVZ65588 MFV65543:MFV65588 MPR65543:MPR65588 MZN65543:MZN65588 NJJ65543:NJJ65588 NTF65543:NTF65588 ODB65543:ODB65588 OMX65543:OMX65588 OWT65543:OWT65588 PGP65543:PGP65588 PQL65543:PQL65588 QAH65543:QAH65588 QKD65543:QKD65588 QTZ65543:QTZ65588 RDV65543:RDV65588 RNR65543:RNR65588 RXN65543:RXN65588 SHJ65543:SHJ65588 SRF65543:SRF65588 TBB65543:TBB65588 TKX65543:TKX65588 TUT65543:TUT65588 UEP65543:UEP65588 UOL65543:UOL65588 UYH65543:UYH65588 VID65543:VID65588 VRZ65543:VRZ65588 WBV65543:WBV65588 WLR65543:WLR65588 WVN65543:WVN65588 F131079:F131124 JB131079:JB131124 SX131079:SX131124 ACT131079:ACT131124 AMP131079:AMP131124 AWL131079:AWL131124 BGH131079:BGH131124 BQD131079:BQD131124 BZZ131079:BZZ131124 CJV131079:CJV131124 CTR131079:CTR131124 DDN131079:DDN131124 DNJ131079:DNJ131124 DXF131079:DXF131124 EHB131079:EHB131124 EQX131079:EQX131124 FAT131079:FAT131124 FKP131079:FKP131124 FUL131079:FUL131124 GEH131079:GEH131124 GOD131079:GOD131124 GXZ131079:GXZ131124 HHV131079:HHV131124 HRR131079:HRR131124 IBN131079:IBN131124 ILJ131079:ILJ131124 IVF131079:IVF131124 JFB131079:JFB131124 JOX131079:JOX131124 JYT131079:JYT131124 KIP131079:KIP131124 KSL131079:KSL131124 LCH131079:LCH131124 LMD131079:LMD131124 LVZ131079:LVZ131124 MFV131079:MFV131124 MPR131079:MPR131124 MZN131079:MZN131124 NJJ131079:NJJ131124 NTF131079:NTF131124 ODB131079:ODB131124 OMX131079:OMX131124 OWT131079:OWT131124 PGP131079:PGP131124 PQL131079:PQL131124 QAH131079:QAH131124 QKD131079:QKD131124 QTZ131079:QTZ131124 RDV131079:RDV131124 RNR131079:RNR131124 RXN131079:RXN131124 SHJ131079:SHJ131124 SRF131079:SRF131124 TBB131079:TBB131124 TKX131079:TKX131124 TUT131079:TUT131124 UEP131079:UEP131124 UOL131079:UOL131124 UYH131079:UYH131124 VID131079:VID131124 VRZ131079:VRZ131124 WBV131079:WBV131124 WLR131079:WLR131124 WVN131079:WVN131124 F196615:F196660 JB196615:JB196660 SX196615:SX196660 ACT196615:ACT196660 AMP196615:AMP196660 AWL196615:AWL196660 BGH196615:BGH196660 BQD196615:BQD196660 BZZ196615:BZZ196660 CJV196615:CJV196660 CTR196615:CTR196660 DDN196615:DDN196660 DNJ196615:DNJ196660 DXF196615:DXF196660 EHB196615:EHB196660 EQX196615:EQX196660 FAT196615:FAT196660 FKP196615:FKP196660 FUL196615:FUL196660 GEH196615:GEH196660 GOD196615:GOD196660 GXZ196615:GXZ196660 HHV196615:HHV196660 HRR196615:HRR196660 IBN196615:IBN196660 ILJ196615:ILJ196660 IVF196615:IVF196660 JFB196615:JFB196660 JOX196615:JOX196660 JYT196615:JYT196660 KIP196615:KIP196660 KSL196615:KSL196660 LCH196615:LCH196660 LMD196615:LMD196660 LVZ196615:LVZ196660 MFV196615:MFV196660 MPR196615:MPR196660 MZN196615:MZN196660 NJJ196615:NJJ196660 NTF196615:NTF196660 ODB196615:ODB196660 OMX196615:OMX196660 OWT196615:OWT196660 PGP196615:PGP196660 PQL196615:PQL196660 QAH196615:QAH196660 QKD196615:QKD196660 QTZ196615:QTZ196660 RDV196615:RDV196660 RNR196615:RNR196660 RXN196615:RXN196660 SHJ196615:SHJ196660 SRF196615:SRF196660 TBB196615:TBB196660 TKX196615:TKX196660 TUT196615:TUT196660 UEP196615:UEP196660 UOL196615:UOL196660 UYH196615:UYH196660 VID196615:VID196660 VRZ196615:VRZ196660 WBV196615:WBV196660 WLR196615:WLR196660 WVN196615:WVN196660 F262151:F262196 JB262151:JB262196 SX262151:SX262196 ACT262151:ACT262196 AMP262151:AMP262196 AWL262151:AWL262196 BGH262151:BGH262196 BQD262151:BQD262196 BZZ262151:BZZ262196 CJV262151:CJV262196 CTR262151:CTR262196 DDN262151:DDN262196 DNJ262151:DNJ262196 DXF262151:DXF262196 EHB262151:EHB262196 EQX262151:EQX262196 FAT262151:FAT262196 FKP262151:FKP262196 FUL262151:FUL262196 GEH262151:GEH262196 GOD262151:GOD262196 GXZ262151:GXZ262196 HHV262151:HHV262196 HRR262151:HRR262196 IBN262151:IBN262196 ILJ262151:ILJ262196 IVF262151:IVF262196 JFB262151:JFB262196 JOX262151:JOX262196 JYT262151:JYT262196 KIP262151:KIP262196 KSL262151:KSL262196 LCH262151:LCH262196 LMD262151:LMD262196 LVZ262151:LVZ262196 MFV262151:MFV262196 MPR262151:MPR262196 MZN262151:MZN262196 NJJ262151:NJJ262196 NTF262151:NTF262196 ODB262151:ODB262196 OMX262151:OMX262196 OWT262151:OWT262196 PGP262151:PGP262196 PQL262151:PQL262196 QAH262151:QAH262196 QKD262151:QKD262196 QTZ262151:QTZ262196 RDV262151:RDV262196 RNR262151:RNR262196 RXN262151:RXN262196 SHJ262151:SHJ262196 SRF262151:SRF262196 TBB262151:TBB262196 TKX262151:TKX262196 TUT262151:TUT262196 UEP262151:UEP262196 UOL262151:UOL262196 UYH262151:UYH262196 VID262151:VID262196 VRZ262151:VRZ262196 WBV262151:WBV262196 WLR262151:WLR262196 WVN262151:WVN262196 F327687:F327732 JB327687:JB327732 SX327687:SX327732 ACT327687:ACT327732 AMP327687:AMP327732 AWL327687:AWL327732 BGH327687:BGH327732 BQD327687:BQD327732 BZZ327687:BZZ327732 CJV327687:CJV327732 CTR327687:CTR327732 DDN327687:DDN327732 DNJ327687:DNJ327732 DXF327687:DXF327732 EHB327687:EHB327732 EQX327687:EQX327732 FAT327687:FAT327732 FKP327687:FKP327732 FUL327687:FUL327732 GEH327687:GEH327732 GOD327687:GOD327732 GXZ327687:GXZ327732 HHV327687:HHV327732 HRR327687:HRR327732 IBN327687:IBN327732 ILJ327687:ILJ327732 IVF327687:IVF327732 JFB327687:JFB327732 JOX327687:JOX327732 JYT327687:JYT327732 KIP327687:KIP327732 KSL327687:KSL327732 LCH327687:LCH327732 LMD327687:LMD327732 LVZ327687:LVZ327732 MFV327687:MFV327732 MPR327687:MPR327732 MZN327687:MZN327732 NJJ327687:NJJ327732 NTF327687:NTF327732 ODB327687:ODB327732 OMX327687:OMX327732 OWT327687:OWT327732 PGP327687:PGP327732 PQL327687:PQL327732 QAH327687:QAH327732 QKD327687:QKD327732 QTZ327687:QTZ327732 RDV327687:RDV327732 RNR327687:RNR327732 RXN327687:RXN327732 SHJ327687:SHJ327732 SRF327687:SRF327732 TBB327687:TBB327732 TKX327687:TKX327732 TUT327687:TUT327732 UEP327687:UEP327732 UOL327687:UOL327732 UYH327687:UYH327732 VID327687:VID327732 VRZ327687:VRZ327732 WBV327687:WBV327732 WLR327687:WLR327732 WVN327687:WVN327732 F393223:F393268 JB393223:JB393268 SX393223:SX393268 ACT393223:ACT393268 AMP393223:AMP393268 AWL393223:AWL393268 BGH393223:BGH393268 BQD393223:BQD393268 BZZ393223:BZZ393268 CJV393223:CJV393268 CTR393223:CTR393268 DDN393223:DDN393268 DNJ393223:DNJ393268 DXF393223:DXF393268 EHB393223:EHB393268 EQX393223:EQX393268 FAT393223:FAT393268 FKP393223:FKP393268 FUL393223:FUL393268 GEH393223:GEH393268 GOD393223:GOD393268 GXZ393223:GXZ393268 HHV393223:HHV393268 HRR393223:HRR393268 IBN393223:IBN393268 ILJ393223:ILJ393268 IVF393223:IVF393268 JFB393223:JFB393268 JOX393223:JOX393268 JYT393223:JYT393268 KIP393223:KIP393268 KSL393223:KSL393268 LCH393223:LCH393268 LMD393223:LMD393268 LVZ393223:LVZ393268 MFV393223:MFV393268 MPR393223:MPR393268 MZN393223:MZN393268 NJJ393223:NJJ393268 NTF393223:NTF393268 ODB393223:ODB393268 OMX393223:OMX393268 OWT393223:OWT393268 PGP393223:PGP393268 PQL393223:PQL393268 QAH393223:QAH393268 QKD393223:QKD393268 QTZ393223:QTZ393268 RDV393223:RDV393268 RNR393223:RNR393268 RXN393223:RXN393268 SHJ393223:SHJ393268 SRF393223:SRF393268 TBB393223:TBB393268 TKX393223:TKX393268 TUT393223:TUT393268 UEP393223:UEP393268 UOL393223:UOL393268 UYH393223:UYH393268 VID393223:VID393268 VRZ393223:VRZ393268 WBV393223:WBV393268 WLR393223:WLR393268 WVN393223:WVN393268 F458759:F458804 JB458759:JB458804 SX458759:SX458804 ACT458759:ACT458804 AMP458759:AMP458804 AWL458759:AWL458804 BGH458759:BGH458804 BQD458759:BQD458804 BZZ458759:BZZ458804 CJV458759:CJV458804 CTR458759:CTR458804 DDN458759:DDN458804 DNJ458759:DNJ458804 DXF458759:DXF458804 EHB458759:EHB458804 EQX458759:EQX458804 FAT458759:FAT458804 FKP458759:FKP458804 FUL458759:FUL458804 GEH458759:GEH458804 GOD458759:GOD458804 GXZ458759:GXZ458804 HHV458759:HHV458804 HRR458759:HRR458804 IBN458759:IBN458804 ILJ458759:ILJ458804 IVF458759:IVF458804 JFB458759:JFB458804 JOX458759:JOX458804 JYT458759:JYT458804 KIP458759:KIP458804 KSL458759:KSL458804 LCH458759:LCH458804 LMD458759:LMD458804 LVZ458759:LVZ458804 MFV458759:MFV458804 MPR458759:MPR458804 MZN458759:MZN458804 NJJ458759:NJJ458804 NTF458759:NTF458804 ODB458759:ODB458804 OMX458759:OMX458804 OWT458759:OWT458804 PGP458759:PGP458804 PQL458759:PQL458804 QAH458759:QAH458804 QKD458759:QKD458804 QTZ458759:QTZ458804 RDV458759:RDV458804 RNR458759:RNR458804 RXN458759:RXN458804 SHJ458759:SHJ458804 SRF458759:SRF458804 TBB458759:TBB458804 TKX458759:TKX458804 TUT458759:TUT458804 UEP458759:UEP458804 UOL458759:UOL458804 UYH458759:UYH458804 VID458759:VID458804 VRZ458759:VRZ458804 WBV458759:WBV458804 WLR458759:WLR458804 WVN458759:WVN458804 F524295:F524340 JB524295:JB524340 SX524295:SX524340 ACT524295:ACT524340 AMP524295:AMP524340 AWL524295:AWL524340 BGH524295:BGH524340 BQD524295:BQD524340 BZZ524295:BZZ524340 CJV524295:CJV524340 CTR524295:CTR524340 DDN524295:DDN524340 DNJ524295:DNJ524340 DXF524295:DXF524340 EHB524295:EHB524340 EQX524295:EQX524340 FAT524295:FAT524340 FKP524295:FKP524340 FUL524295:FUL524340 GEH524295:GEH524340 GOD524295:GOD524340 GXZ524295:GXZ524340 HHV524295:HHV524340 HRR524295:HRR524340 IBN524295:IBN524340 ILJ524295:ILJ524340 IVF524295:IVF524340 JFB524295:JFB524340 JOX524295:JOX524340 JYT524295:JYT524340 KIP524295:KIP524340 KSL524295:KSL524340 LCH524295:LCH524340 LMD524295:LMD524340 LVZ524295:LVZ524340 MFV524295:MFV524340 MPR524295:MPR524340 MZN524295:MZN524340 NJJ524295:NJJ524340 NTF524295:NTF524340 ODB524295:ODB524340 OMX524295:OMX524340 OWT524295:OWT524340 PGP524295:PGP524340 PQL524295:PQL524340 QAH524295:QAH524340 QKD524295:QKD524340 QTZ524295:QTZ524340 RDV524295:RDV524340 RNR524295:RNR524340 RXN524295:RXN524340 SHJ524295:SHJ524340 SRF524295:SRF524340 TBB524295:TBB524340 TKX524295:TKX524340 TUT524295:TUT524340 UEP524295:UEP524340 UOL524295:UOL524340 UYH524295:UYH524340 VID524295:VID524340 VRZ524295:VRZ524340 WBV524295:WBV524340 WLR524295:WLR524340 WVN524295:WVN524340 F589831:F589876 JB589831:JB589876 SX589831:SX589876 ACT589831:ACT589876 AMP589831:AMP589876 AWL589831:AWL589876 BGH589831:BGH589876 BQD589831:BQD589876 BZZ589831:BZZ589876 CJV589831:CJV589876 CTR589831:CTR589876 DDN589831:DDN589876 DNJ589831:DNJ589876 DXF589831:DXF589876 EHB589831:EHB589876 EQX589831:EQX589876 FAT589831:FAT589876 FKP589831:FKP589876 FUL589831:FUL589876 GEH589831:GEH589876 GOD589831:GOD589876 GXZ589831:GXZ589876 HHV589831:HHV589876 HRR589831:HRR589876 IBN589831:IBN589876 ILJ589831:ILJ589876 IVF589831:IVF589876 JFB589831:JFB589876 JOX589831:JOX589876 JYT589831:JYT589876 KIP589831:KIP589876 KSL589831:KSL589876 LCH589831:LCH589876 LMD589831:LMD589876 LVZ589831:LVZ589876 MFV589831:MFV589876 MPR589831:MPR589876 MZN589831:MZN589876 NJJ589831:NJJ589876 NTF589831:NTF589876 ODB589831:ODB589876 OMX589831:OMX589876 OWT589831:OWT589876 PGP589831:PGP589876 PQL589831:PQL589876 QAH589831:QAH589876 QKD589831:QKD589876 QTZ589831:QTZ589876 RDV589831:RDV589876 RNR589831:RNR589876 RXN589831:RXN589876 SHJ589831:SHJ589876 SRF589831:SRF589876 TBB589831:TBB589876 TKX589831:TKX589876 TUT589831:TUT589876 UEP589831:UEP589876 UOL589831:UOL589876 UYH589831:UYH589876 VID589831:VID589876 VRZ589831:VRZ589876 WBV589831:WBV589876 WLR589831:WLR589876 WVN589831:WVN589876 F655367:F655412 JB655367:JB655412 SX655367:SX655412 ACT655367:ACT655412 AMP655367:AMP655412 AWL655367:AWL655412 BGH655367:BGH655412 BQD655367:BQD655412 BZZ655367:BZZ655412 CJV655367:CJV655412 CTR655367:CTR655412 DDN655367:DDN655412 DNJ655367:DNJ655412 DXF655367:DXF655412 EHB655367:EHB655412 EQX655367:EQX655412 FAT655367:FAT655412 FKP655367:FKP655412 FUL655367:FUL655412 GEH655367:GEH655412 GOD655367:GOD655412 GXZ655367:GXZ655412 HHV655367:HHV655412 HRR655367:HRR655412 IBN655367:IBN655412 ILJ655367:ILJ655412 IVF655367:IVF655412 JFB655367:JFB655412 JOX655367:JOX655412 JYT655367:JYT655412 KIP655367:KIP655412 KSL655367:KSL655412 LCH655367:LCH655412 LMD655367:LMD655412 LVZ655367:LVZ655412 MFV655367:MFV655412 MPR655367:MPR655412 MZN655367:MZN655412 NJJ655367:NJJ655412 NTF655367:NTF655412 ODB655367:ODB655412 OMX655367:OMX655412 OWT655367:OWT655412 PGP655367:PGP655412 PQL655367:PQL655412 QAH655367:QAH655412 QKD655367:QKD655412 QTZ655367:QTZ655412 RDV655367:RDV655412 RNR655367:RNR655412 RXN655367:RXN655412 SHJ655367:SHJ655412 SRF655367:SRF655412 TBB655367:TBB655412 TKX655367:TKX655412 TUT655367:TUT655412 UEP655367:UEP655412 UOL655367:UOL655412 UYH655367:UYH655412 VID655367:VID655412 VRZ655367:VRZ655412 WBV655367:WBV655412 WLR655367:WLR655412 WVN655367:WVN655412 F720903:F720948 JB720903:JB720948 SX720903:SX720948 ACT720903:ACT720948 AMP720903:AMP720948 AWL720903:AWL720948 BGH720903:BGH720948 BQD720903:BQD720948 BZZ720903:BZZ720948 CJV720903:CJV720948 CTR720903:CTR720948 DDN720903:DDN720948 DNJ720903:DNJ720948 DXF720903:DXF720948 EHB720903:EHB720948 EQX720903:EQX720948 FAT720903:FAT720948 FKP720903:FKP720948 FUL720903:FUL720948 GEH720903:GEH720948 GOD720903:GOD720948 GXZ720903:GXZ720948 HHV720903:HHV720948 HRR720903:HRR720948 IBN720903:IBN720948 ILJ720903:ILJ720948 IVF720903:IVF720948 JFB720903:JFB720948 JOX720903:JOX720948 JYT720903:JYT720948 KIP720903:KIP720948 KSL720903:KSL720948 LCH720903:LCH720948 LMD720903:LMD720948 LVZ720903:LVZ720948 MFV720903:MFV720948 MPR720903:MPR720948 MZN720903:MZN720948 NJJ720903:NJJ720948 NTF720903:NTF720948 ODB720903:ODB720948 OMX720903:OMX720948 OWT720903:OWT720948 PGP720903:PGP720948 PQL720903:PQL720948 QAH720903:QAH720948 QKD720903:QKD720948 QTZ720903:QTZ720948 RDV720903:RDV720948 RNR720903:RNR720948 RXN720903:RXN720948 SHJ720903:SHJ720948 SRF720903:SRF720948 TBB720903:TBB720948 TKX720903:TKX720948 TUT720903:TUT720948 UEP720903:UEP720948 UOL720903:UOL720948 UYH720903:UYH720948 VID720903:VID720948 VRZ720903:VRZ720948 WBV720903:WBV720948 WLR720903:WLR720948 WVN720903:WVN720948 F786439:F786484 JB786439:JB786484 SX786439:SX786484 ACT786439:ACT786484 AMP786439:AMP786484 AWL786439:AWL786484 BGH786439:BGH786484 BQD786439:BQD786484 BZZ786439:BZZ786484 CJV786439:CJV786484 CTR786439:CTR786484 DDN786439:DDN786484 DNJ786439:DNJ786484 DXF786439:DXF786484 EHB786439:EHB786484 EQX786439:EQX786484 FAT786439:FAT786484 FKP786439:FKP786484 FUL786439:FUL786484 GEH786439:GEH786484 GOD786439:GOD786484 GXZ786439:GXZ786484 HHV786439:HHV786484 HRR786439:HRR786484 IBN786439:IBN786484 ILJ786439:ILJ786484 IVF786439:IVF786484 JFB786439:JFB786484 JOX786439:JOX786484 JYT786439:JYT786484 KIP786439:KIP786484 KSL786439:KSL786484 LCH786439:LCH786484 LMD786439:LMD786484 LVZ786439:LVZ786484 MFV786439:MFV786484 MPR786439:MPR786484 MZN786439:MZN786484 NJJ786439:NJJ786484 NTF786439:NTF786484 ODB786439:ODB786484 OMX786439:OMX786484 OWT786439:OWT786484 PGP786439:PGP786484 PQL786439:PQL786484 QAH786439:QAH786484 QKD786439:QKD786484 QTZ786439:QTZ786484 RDV786439:RDV786484 RNR786439:RNR786484 RXN786439:RXN786484 SHJ786439:SHJ786484 SRF786439:SRF786484 TBB786439:TBB786484 TKX786439:TKX786484 TUT786439:TUT786484 UEP786439:UEP786484 UOL786439:UOL786484 UYH786439:UYH786484 VID786439:VID786484 VRZ786439:VRZ786484 WBV786439:WBV786484 WLR786439:WLR786484 WVN786439:WVN786484 F851975:F852020 JB851975:JB852020 SX851975:SX852020 ACT851975:ACT852020 AMP851975:AMP852020 AWL851975:AWL852020 BGH851975:BGH852020 BQD851975:BQD852020 BZZ851975:BZZ852020 CJV851975:CJV852020 CTR851975:CTR852020 DDN851975:DDN852020 DNJ851975:DNJ852020 DXF851975:DXF852020 EHB851975:EHB852020 EQX851975:EQX852020 FAT851975:FAT852020 FKP851975:FKP852020 FUL851975:FUL852020 GEH851975:GEH852020 GOD851975:GOD852020 GXZ851975:GXZ852020 HHV851975:HHV852020 HRR851975:HRR852020 IBN851975:IBN852020 ILJ851975:ILJ852020 IVF851975:IVF852020 JFB851975:JFB852020 JOX851975:JOX852020 JYT851975:JYT852020 KIP851975:KIP852020 KSL851975:KSL852020 LCH851975:LCH852020 LMD851975:LMD852020 LVZ851975:LVZ852020 MFV851975:MFV852020 MPR851975:MPR852020 MZN851975:MZN852020 NJJ851975:NJJ852020 NTF851975:NTF852020 ODB851975:ODB852020 OMX851975:OMX852020 OWT851975:OWT852020 PGP851975:PGP852020 PQL851975:PQL852020 QAH851975:QAH852020 QKD851975:QKD852020 QTZ851975:QTZ852020 RDV851975:RDV852020 RNR851975:RNR852020 RXN851975:RXN852020 SHJ851975:SHJ852020 SRF851975:SRF852020 TBB851975:TBB852020 TKX851975:TKX852020 TUT851975:TUT852020 UEP851975:UEP852020 UOL851975:UOL852020 UYH851975:UYH852020 VID851975:VID852020 VRZ851975:VRZ852020 WBV851975:WBV852020 WLR851975:WLR852020 WVN851975:WVN852020 F917511:F917556 JB917511:JB917556 SX917511:SX917556 ACT917511:ACT917556 AMP917511:AMP917556 AWL917511:AWL917556 BGH917511:BGH917556 BQD917511:BQD917556 BZZ917511:BZZ917556 CJV917511:CJV917556 CTR917511:CTR917556 DDN917511:DDN917556 DNJ917511:DNJ917556 DXF917511:DXF917556 EHB917511:EHB917556 EQX917511:EQX917556 FAT917511:FAT917556 FKP917511:FKP917556 FUL917511:FUL917556 GEH917511:GEH917556 GOD917511:GOD917556 GXZ917511:GXZ917556 HHV917511:HHV917556 HRR917511:HRR917556 IBN917511:IBN917556 ILJ917511:ILJ917556 IVF917511:IVF917556 JFB917511:JFB917556 JOX917511:JOX917556 JYT917511:JYT917556 KIP917511:KIP917556 KSL917511:KSL917556 LCH917511:LCH917556 LMD917511:LMD917556 LVZ917511:LVZ917556 MFV917511:MFV917556 MPR917511:MPR917556 MZN917511:MZN917556 NJJ917511:NJJ917556 NTF917511:NTF917556 ODB917511:ODB917556 OMX917511:OMX917556 OWT917511:OWT917556 PGP917511:PGP917556 PQL917511:PQL917556 QAH917511:QAH917556 QKD917511:QKD917556 QTZ917511:QTZ917556 RDV917511:RDV917556 RNR917511:RNR917556 RXN917511:RXN917556 SHJ917511:SHJ917556 SRF917511:SRF917556 TBB917511:TBB917556 TKX917511:TKX917556 TUT917511:TUT917556 UEP917511:UEP917556 UOL917511:UOL917556 UYH917511:UYH917556 VID917511:VID917556 VRZ917511:VRZ917556 WBV917511:WBV917556 WLR917511:WLR917556 WVN917511:WVN917556 F983047:F983092 JB983047:JB983092 SX983047:SX983092 ACT983047:ACT983092 AMP983047:AMP983092 AWL983047:AWL983092 BGH983047:BGH983092 BQD983047:BQD983092 BZZ983047:BZZ983092 CJV983047:CJV983092 CTR983047:CTR983092 DDN983047:DDN983092 DNJ983047:DNJ983092 DXF983047:DXF983092 EHB983047:EHB983092 EQX983047:EQX983092 FAT983047:FAT983092 FKP983047:FKP983092 FUL983047:FUL983092 GEH983047:GEH983092 GOD983047:GOD983092 GXZ983047:GXZ983092 HHV983047:HHV983092 HRR983047:HRR983092 IBN983047:IBN983092 ILJ983047:ILJ983092 IVF983047:IVF983092 JFB983047:JFB983092 JOX983047:JOX983092 JYT983047:JYT983092 KIP983047:KIP983092 KSL983047:KSL983092 LCH983047:LCH983092 LMD983047:LMD983092 LVZ983047:LVZ983092 MFV983047:MFV983092 MPR983047:MPR983092 MZN983047:MZN983092 NJJ983047:NJJ983092 NTF983047:NTF983092 ODB983047:ODB983092 OMX983047:OMX983092 OWT983047:OWT983092 PGP983047:PGP983092 PQL983047:PQL983092 QAH983047:QAH983092 QKD983047:QKD983092 QTZ983047:QTZ983092 RDV983047:RDV983092 RNR983047:RNR983092 RXN983047:RXN983092 SHJ983047:SHJ983092 SRF983047:SRF983092 TBB983047:TBB983092 TKX983047:TKX983092 TUT983047:TUT983092 UEP983047:UEP983092 UOL983047:UOL983092 UYH983047:UYH983092 VID983047:VID983092 VRZ983047:VRZ983092 WBV983047:WBV983092 WLR983047:WLR983092 WVN983047:WVN983092" xr:uid="{ECB3F174-6B07-45A1-993A-41A57B49D8EC}">
      <formula1>$AL$7:$AL$8</formula1>
    </dataValidation>
  </dataValidations>
  <printOptions horizontalCentered="1" verticalCentered="1" gridLinesSet="0"/>
  <pageMargins left="0" right="0" top="0.19685039370078741" bottom="0.19685039370078741" header="0" footer="0"/>
  <pageSetup scale="60" orientation="landscape" horizontalDpi="1200" verticalDpi="1200" r:id="rId1"/>
  <headerFooter alignWithMargins="0"/>
  <drawing r:id="rId2"/>
  <legacyDrawing r:id="rId3"/>
</worksheet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  <vt:lpstr>'SEPTIEMBRE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BRAHIAM STEVEEN JIMENEZ ZULUAGA</dc:creator>
  <cp:lastModifiedBy>BRAHIAM STEVEEN JIMENEZ ZULUAGA</cp:lastModifiedBy>
  <dcterms:created xsi:type="dcterms:W3CDTF">2015-06-05T18:19:34Z</dcterms:created>
  <dcterms:modified xsi:type="dcterms:W3CDTF">2026-08-26T12:35:49Z</dcterms:modified>
</cp:coreProperties>
</file>